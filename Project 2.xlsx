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project file\"/>
    </mc:Choice>
  </mc:AlternateContent>
  <xr:revisionPtr revIDLastSave="0" documentId="8_{E1202CD0-E805-403F-9CF2-A877AE6C8798}" xr6:coauthVersionLast="47" xr6:coauthVersionMax="47" xr10:uidLastSave="{00000000-0000-0000-0000-000000000000}"/>
  <bookViews>
    <workbookView xWindow="-108" yWindow="-108" windowWidth="23256" windowHeight="12456" activeTab="5" xr2:uid="{BB0BE7A4-7587-4564-A0A9-53B86E2EFFD4}"/>
  </bookViews>
  <sheets>
    <sheet name="Sheet1" sheetId="1" r:id="rId1"/>
    <sheet name="pivot 1" sheetId="6" state="hidden" r:id="rId2"/>
    <sheet name="pivot2" sheetId="7" state="hidden" r:id="rId3"/>
    <sheet name="pivot3" sheetId="8" state="hidden" r:id="rId4"/>
    <sheet name="pivot4" sheetId="9" state="hidden" r:id="rId5"/>
    <sheet name="Final Dashboard" sheetId="10" r:id="rId6"/>
  </sheets>
  <definedNames>
    <definedName name="Slicer_Agent_Name">#N/A</definedName>
    <definedName name="Slicer_Category">#N/A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alcChain>
</file>

<file path=xl/sharedStrings.xml><?xml version="1.0" encoding="utf-8"?>
<sst xmlns="http://schemas.openxmlformats.org/spreadsheetml/2006/main" count="130" uniqueCount="57">
  <si>
    <t>Agent_Name</t>
  </si>
  <si>
    <t>Technical</t>
  </si>
  <si>
    <t>Billing</t>
  </si>
  <si>
    <t>General</t>
  </si>
  <si>
    <t>Rahul</t>
  </si>
  <si>
    <t>Priya</t>
  </si>
  <si>
    <t>Amit</t>
  </si>
  <si>
    <t>Sneha</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</si>
  <si>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</si>
  <si>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</si>
  <si>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</si>
  <si>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</si>
  <si>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</si>
  <si>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</si>
  <si>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</si>
  <si>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</si>
  <si>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</si>
  <si>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</si>
  <si>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</si>
  <si>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</si>
  <si>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</si>
  <si>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</si>
  <si>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</si>
  <si>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</si>
  <si>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</si>
  <si>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</si>
  <si>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</si>
  <si>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</si>
  <si>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</si>
  <si>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</si>
  <si>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</si>
  <si>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</si>
  <si>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</si>
  <si>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</si>
  <si>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</si>
  <si>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</si>
  <si>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</si>
  <si>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</si>
  <si>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Kiran</t>
  </si>
  <si>
    <t>Refund</t>
  </si>
  <si>
    <t>Account</t>
  </si>
  <si>
    <t>Date</t>
  </si>
  <si>
    <t>Category</t>
  </si>
  <si>
    <t>CSAT_Score</t>
  </si>
  <si>
    <t>Response_Time</t>
  </si>
  <si>
    <t>Resolution_Time</t>
  </si>
  <si>
    <t>Ticket_ID</t>
  </si>
  <si>
    <t>Row Labels</t>
  </si>
  <si>
    <t>Grand Total</t>
  </si>
  <si>
    <t>Average of CSAT_Score</t>
  </si>
  <si>
    <t>Average of Resolution_Time</t>
  </si>
  <si>
    <t>SLA Performance</t>
  </si>
  <si>
    <t>Column Labels</t>
  </si>
  <si>
    <t>Breached</t>
  </si>
  <si>
    <t>Met</t>
  </si>
  <si>
    <t>Count of Ticket_ID</t>
  </si>
  <si>
    <t>Customer Support Operations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</si>
</sst>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4"/>
      <color theme="1"/>
      <name val="Calibri"/>
      <family val="2"/>
      <scheme val="minor"/>
    </font>
    <font>
      <b/>
      <sz val="11"/>
      <color theme="1"/>
      <name val="Arial"/>
      <family val="2"/>
    </font>
    <font>
      <sz val="36"/>
      <color theme="0"/>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0">
    <xf numFmtId="0" fontId="0" fillId="0" borderId="0" xfId="0"/>
    <xf numFmtId="0" fontId="2" fillId="0" borderId="0" xfId="0" applyFont="1"/>
    <xf numFmtId="0" fontId="2" fillId="0" borderId="0" xfId="0" applyFont="1" applyAlignment="1">
      <alignment horizontal="center"/>
    </xf>
    <xf numFmtId="16" fontId="2" fillId="0" borderId="0" xfId="0" applyNumberFormat="1" applyFont="1" applyAlignment="1">
      <alignment horizontal="center"/>
    </xf>
    <xf numFmtId="0" fontId="3" fillId="0" borderId="1" xfId="0" applyFon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3" borderId="0" xfId="0" applyFont="1" applyFill="1" applyAlignment="1">
      <alignment horizontal="center"/>
    </xf>
  </cellXfs>
  <cellStyles count="1">
    <cellStyle name="Normal" xfId="0" builtinId="0"/>
  </cellStyles>
  <dxfs count="10">
    <dxf>
      <font>
        <b val="0"/>
        <i val="0"/>
        <strike val="0"/>
        <condense val="0"/>
        <extend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1!PivotTable5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solidFill>
            <a:ln>
              <a:noFill/>
            </a:ln>
            <a:effectLst/>
            <a:sp3d/>
          </c:spPr>
          <c:invertIfNegative val="0"/>
          <c:cat>
            <c:strRef>
              <c:f>'pivot 1'!$A$4:$A$9</c:f>
              <c:strCache>
                <c:ptCount val="5"/>
                <c:pt idx="0">
                  <c:v>Amit</c:v>
                </c:pt>
                <c:pt idx="1">
                  <c:v>Kiran</c:v>
                </c:pt>
                <c:pt idx="2">
                  <c:v>Priya</c:v>
                </c:pt>
                <c:pt idx="3">
                  <c:v>Rahul</c:v>
                </c:pt>
                <c:pt idx="4">
                  <c:v>Sneha</c:v>
                </c:pt>
              </c:strCache>
            </c:strRef>
          </c:cat>
          <c:val>
            <c:numRef>
              <c:f>'pivot 1'!$B$4:$B$9</c:f>
              <c:numCache>
                <c:formatCode>General</c:formatCode>
                <c:ptCount val="5"/>
                <c:pt idx="0">
                  <c:v>4.2</c:v>
                </c:pt>
                <c:pt idx="1">
                  <c:v>4.5999999999999996</c:v>
                </c:pt>
                <c:pt idx="2">
                  <c:v>1.7142857142857142</c:v>
                </c:pt>
                <c:pt idx="3">
                  <c:v>4</c:v>
                </c:pt>
                <c:pt idx="4">
                  <c:v>4.666666666666667</c:v>
                </c:pt>
              </c:numCache>
            </c:numRef>
          </c:val>
          <c:extLst>
            <c:ext xmlns:c16="http://schemas.microsoft.com/office/drawing/2014/chart" uri="{C3380CC4-5D6E-409C-BE32-E72D297353CC}">
              <c16:uniqueId val="{00000000-69C3-4CA6-8898-7C9224D4C4A2}"/>
            </c:ext>
          </c:extLst>
        </c:ser>
        <c:dLbls>
          <c:showLegendKey val="0"/>
          <c:showVal val="0"/>
          <c:showCatName val="0"/>
          <c:showSerName val="0"/>
          <c:showPercent val="0"/>
          <c:showBubbleSize val="0"/>
        </c:dLbls>
        <c:gapWidth val="150"/>
        <c:shape val="box"/>
        <c:axId val="1169881312"/>
        <c:axId val="1169881792"/>
        <c:axId val="0"/>
      </c:bar3DChart>
      <c:catAx>
        <c:axId val="116988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81792"/>
        <c:crosses val="autoZero"/>
        <c:auto val="1"/>
        <c:lblAlgn val="ctr"/>
        <c:lblOffset val="100"/>
        <c:noMultiLvlLbl val="0"/>
      </c:catAx>
      <c:valAx>
        <c:axId val="116988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8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B7-421A-AB35-C481B1C751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B7-421A-AB35-C481B1C751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B7-421A-AB35-C481B1C751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B7-421A-AB35-C481B1C751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AB7-421A-AB35-C481B1C751F2}"/>
              </c:ext>
            </c:extLst>
          </c:dPt>
          <c:cat>
            <c:strRef>
              <c:f>pivot2!$A$4:$A$9</c:f>
              <c:strCache>
                <c:ptCount val="5"/>
                <c:pt idx="0">
                  <c:v>Account</c:v>
                </c:pt>
                <c:pt idx="1">
                  <c:v>Billing</c:v>
                </c:pt>
                <c:pt idx="2">
                  <c:v>General</c:v>
                </c:pt>
                <c:pt idx="3">
                  <c:v>Refund</c:v>
                </c:pt>
                <c:pt idx="4">
                  <c:v>Technical</c:v>
                </c:pt>
              </c:strCache>
            </c:strRef>
          </c:cat>
          <c:val>
            <c:numRef>
              <c:f>pivot2!$B$4:$B$9</c:f>
              <c:numCache>
                <c:formatCode>General</c:formatCode>
                <c:ptCount val="5"/>
                <c:pt idx="0">
                  <c:v>2.25</c:v>
                </c:pt>
                <c:pt idx="1">
                  <c:v>14.571428571428571</c:v>
                </c:pt>
                <c:pt idx="2">
                  <c:v>1.5</c:v>
                </c:pt>
                <c:pt idx="3">
                  <c:v>3</c:v>
                </c:pt>
                <c:pt idx="4">
                  <c:v>4.5555555555555554</c:v>
                </c:pt>
              </c:numCache>
            </c:numRef>
          </c:val>
          <c:extLst>
            <c:ext xmlns:c16="http://schemas.microsoft.com/office/drawing/2014/chart" uri="{C3380CC4-5D6E-409C-BE32-E72D297353CC}">
              <c16:uniqueId val="{00000000-9489-404D-91D6-0CA7B95F28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2.xlsx]pivot3!PivotTable7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pivot3!$B$3:$B$4</c:f>
              <c:strCache>
                <c:ptCount val="1"/>
                <c:pt idx="0">
                  <c:v>Breached</c:v>
                </c:pt>
              </c:strCache>
            </c:strRef>
          </c:tx>
          <c:spPr>
            <a:solidFill>
              <a:schemeClr val="accent1"/>
            </a:solidFill>
            <a:ln>
              <a:noFill/>
            </a:ln>
            <a:effectLst/>
            <a:sp3d/>
          </c:spPr>
          <c:invertIfNegative val="0"/>
          <c:cat>
            <c:strRef>
              <c:f>pivot3!$A$5:$A$10</c:f>
              <c:strCache>
                <c:ptCount val="5"/>
                <c:pt idx="0">
                  <c:v>Account</c:v>
                </c:pt>
                <c:pt idx="1">
                  <c:v>Billing</c:v>
                </c:pt>
                <c:pt idx="2">
                  <c:v>General</c:v>
                </c:pt>
                <c:pt idx="3">
                  <c:v>Refund</c:v>
                </c:pt>
                <c:pt idx="4">
                  <c:v>Technical</c:v>
                </c:pt>
              </c:strCache>
            </c:strRef>
          </c:cat>
          <c:val>
            <c:numRef>
              <c:f>pivot3!$B$5:$B$10</c:f>
              <c:numCache>
                <c:formatCode>General</c:formatCode>
                <c:ptCount val="5"/>
                <c:pt idx="0">
                  <c:v>3</c:v>
                </c:pt>
                <c:pt idx="1">
                  <c:v>3</c:v>
                </c:pt>
                <c:pt idx="2">
                  <c:v>4</c:v>
                </c:pt>
                <c:pt idx="3">
                  <c:v>4</c:v>
                </c:pt>
                <c:pt idx="4">
                  <c:v>6</c:v>
                </c:pt>
              </c:numCache>
            </c:numRef>
          </c:val>
          <c:extLst>
            <c:ext xmlns:c16="http://schemas.microsoft.com/office/drawing/2014/chart" uri="{C3380CC4-5D6E-409C-BE32-E72D297353CC}">
              <c16:uniqueId val="{00000000-FFE9-4838-82F5-9300E4C30EB6}"/>
            </c:ext>
          </c:extLst>
        </c:ser>
        <c:ser>
          <c:idx val="1"/>
          <c:order val="1"/>
          <c:tx>
            <c:strRef>
              <c:f>pivot3!$C$3:$C$4</c:f>
              <c:strCache>
                <c:ptCount val="1"/>
                <c:pt idx="0">
                  <c:v>Met</c:v>
                </c:pt>
              </c:strCache>
            </c:strRef>
          </c:tx>
          <c:spPr>
            <a:solidFill>
              <a:schemeClr val="accent2"/>
            </a:solidFill>
            <a:ln>
              <a:noFill/>
            </a:ln>
            <a:effectLst/>
            <a:sp3d/>
          </c:spPr>
          <c:invertIfNegative val="0"/>
          <c:cat>
            <c:strRef>
              <c:f>pivot3!$A$5:$A$10</c:f>
              <c:strCache>
                <c:ptCount val="5"/>
                <c:pt idx="0">
                  <c:v>Account</c:v>
                </c:pt>
                <c:pt idx="1">
                  <c:v>Billing</c:v>
                </c:pt>
                <c:pt idx="2">
                  <c:v>General</c:v>
                </c:pt>
                <c:pt idx="3">
                  <c:v>Refund</c:v>
                </c:pt>
                <c:pt idx="4">
                  <c:v>Technical</c:v>
                </c:pt>
              </c:strCache>
            </c:strRef>
          </c:cat>
          <c:val>
            <c:numRef>
              <c:f>pivot3!$C$5:$C$10</c:f>
              <c:numCache>
                <c:formatCode>General</c:formatCode>
                <c:ptCount val="5"/>
                <c:pt idx="0">
                  <c:v>1</c:v>
                </c:pt>
                <c:pt idx="1">
                  <c:v>4</c:v>
                </c:pt>
                <c:pt idx="2">
                  <c:v>2</c:v>
                </c:pt>
                <c:pt idx="4">
                  <c:v>3</c:v>
                </c:pt>
              </c:numCache>
            </c:numRef>
          </c:val>
          <c:extLst>
            <c:ext xmlns:c16="http://schemas.microsoft.com/office/drawing/2014/chart" uri="{C3380CC4-5D6E-409C-BE32-E72D297353CC}">
              <c16:uniqueId val="{00000003-6462-4BD2-B505-56B78BCA1FA3}"/>
            </c:ext>
          </c:extLst>
        </c:ser>
        <c:dLbls>
          <c:showLegendKey val="0"/>
          <c:showVal val="0"/>
          <c:showCatName val="0"/>
          <c:showSerName val="0"/>
          <c:showPercent val="0"/>
          <c:showBubbleSize val="0"/>
        </c:dLbls>
        <c:gapWidth val="150"/>
        <c:shape val="box"/>
        <c:axId val="983805952"/>
        <c:axId val="983806432"/>
        <c:axId val="0"/>
      </c:bar3DChart>
      <c:catAx>
        <c:axId val="98380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06432"/>
        <c:crosses val="autoZero"/>
        <c:auto val="1"/>
        <c:lblAlgn val="ctr"/>
        <c:lblOffset val="100"/>
        <c:noMultiLvlLbl val="0"/>
      </c:catAx>
      <c:valAx>
        <c:axId val="98380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0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2.xlsx]pivot4!PivotTable8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pivot4!$A$3</c:f>
              <c:strCache>
                <c:ptCount val="1"/>
                <c:pt idx="0">
                  <c:v>Average of Resolution_Time</c:v>
                </c:pt>
              </c:strCache>
            </c:strRef>
          </c:tx>
          <c:spPr>
            <a:solidFill>
              <a:schemeClr val="accent1"/>
            </a:solidFill>
            <a:ln>
              <a:noFill/>
            </a:ln>
            <a:effectLst/>
            <a:sp3d/>
          </c:spPr>
          <c:invertIfNegative val="0"/>
          <c:cat>
            <c:strRef>
              <c:f>pivot4!$A$4</c:f>
              <c:strCache>
                <c:ptCount val="1"/>
                <c:pt idx="0">
                  <c:v>Total</c:v>
                </c:pt>
              </c:strCache>
            </c:strRef>
          </c:cat>
          <c:val>
            <c:numRef>
              <c:f>pivot4!$A$4</c:f>
              <c:numCache>
                <c:formatCode>General</c:formatCode>
                <c:ptCount val="1"/>
                <c:pt idx="0">
                  <c:v>5.7666666666666666</c:v>
                </c:pt>
              </c:numCache>
            </c:numRef>
          </c:val>
          <c:extLst>
            <c:ext xmlns:c16="http://schemas.microsoft.com/office/drawing/2014/chart" uri="{C3380CC4-5D6E-409C-BE32-E72D297353CC}">
              <c16:uniqueId val="{00000000-617E-4670-A9B4-91D9FE927279}"/>
            </c:ext>
          </c:extLst>
        </c:ser>
        <c:ser>
          <c:idx val="1"/>
          <c:order val="1"/>
          <c:tx>
            <c:strRef>
              <c:f>pivot4!$B$3</c:f>
              <c:strCache>
                <c:ptCount val="1"/>
                <c:pt idx="0">
                  <c:v>Average of CSAT_Score</c:v>
                </c:pt>
              </c:strCache>
            </c:strRef>
          </c:tx>
          <c:spPr>
            <a:solidFill>
              <a:schemeClr val="accent2"/>
            </a:solidFill>
            <a:ln>
              <a:noFill/>
            </a:ln>
            <a:effectLst/>
            <a:sp3d/>
          </c:spPr>
          <c:invertIfNegative val="0"/>
          <c:cat>
            <c:strRef>
              <c:f>pivot4!$A$4</c:f>
              <c:strCache>
                <c:ptCount val="1"/>
                <c:pt idx="0">
                  <c:v>Total</c:v>
                </c:pt>
              </c:strCache>
            </c:strRef>
          </c:cat>
          <c:val>
            <c:numRef>
              <c:f>pivot4!$B$4</c:f>
              <c:numCache>
                <c:formatCode>General</c:formatCode>
                <c:ptCount val="1"/>
                <c:pt idx="0">
                  <c:v>3.7333333333333334</c:v>
                </c:pt>
              </c:numCache>
            </c:numRef>
          </c:val>
          <c:extLst>
            <c:ext xmlns:c16="http://schemas.microsoft.com/office/drawing/2014/chart" uri="{C3380CC4-5D6E-409C-BE32-E72D297353CC}">
              <c16:uniqueId val="{00000001-617E-4670-A9B4-91D9FE927279}"/>
            </c:ext>
          </c:extLst>
        </c:ser>
        <c:ser>
          <c:idx val="2"/>
          <c:order val="2"/>
          <c:tx>
            <c:strRef>
              <c:f>pivot4!$C$3</c:f>
              <c:strCache>
                <c:ptCount val="1"/>
                <c:pt idx="0">
                  <c:v>Count of Ticket_ID</c:v>
                </c:pt>
              </c:strCache>
            </c:strRef>
          </c:tx>
          <c:spPr>
            <a:solidFill>
              <a:schemeClr val="accent3"/>
            </a:solidFill>
            <a:ln>
              <a:noFill/>
            </a:ln>
            <a:effectLst/>
            <a:sp3d/>
          </c:spPr>
          <c:invertIfNegative val="0"/>
          <c:cat>
            <c:strRef>
              <c:f>pivot4!$A$4</c:f>
              <c:strCache>
                <c:ptCount val="1"/>
                <c:pt idx="0">
                  <c:v>Total</c:v>
                </c:pt>
              </c:strCache>
            </c:strRef>
          </c:cat>
          <c:val>
            <c:numRef>
              <c:f>pivot4!$C$4</c:f>
              <c:numCache>
                <c:formatCode>General</c:formatCode>
                <c:ptCount val="1"/>
                <c:pt idx="0">
                  <c:v>30</c:v>
                </c:pt>
              </c:numCache>
            </c:numRef>
          </c:val>
          <c:extLst>
            <c:ext xmlns:c16="http://schemas.microsoft.com/office/drawing/2014/chart" uri="{C3380CC4-5D6E-409C-BE32-E72D297353CC}">
              <c16:uniqueId val="{00000002-617E-4670-A9B4-91D9FE927279}"/>
            </c:ext>
          </c:extLst>
        </c:ser>
        <c:dLbls>
          <c:showLegendKey val="0"/>
          <c:showVal val="0"/>
          <c:showCatName val="0"/>
          <c:showSerName val="0"/>
          <c:showPercent val="0"/>
          <c:showBubbleSize val="0"/>
        </c:dLbls>
        <c:gapWidth val="150"/>
        <c:shape val="box"/>
        <c:axId val="1169861152"/>
        <c:axId val="1169877952"/>
        <c:axId val="0"/>
      </c:bar3DChart>
      <c:catAx>
        <c:axId val="1169861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77952"/>
        <c:crosses val="autoZero"/>
        <c:auto val="1"/>
        <c:lblAlgn val="ctr"/>
        <c:lblOffset val="100"/>
        <c:noMultiLvlLbl val="0"/>
      </c:catAx>
      <c:valAx>
        <c:axId val="116987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6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1!PivotTable5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Agent-wise CSAT Scores</a:t>
            </a:r>
            <a:endParaRPr lang="en-US"/>
          </a:p>
        </c:rich>
      </c:tx>
      <c:layout>
        <c:manualLayout>
          <c:xMode val="edge"/>
          <c:yMode val="edge"/>
          <c:x val="0.33186277550217042"/>
          <c:y val="0.1162301501932062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1'!$A$4:$A$9</c:f>
              <c:strCache>
                <c:ptCount val="5"/>
                <c:pt idx="0">
                  <c:v>Amit</c:v>
                </c:pt>
                <c:pt idx="1">
                  <c:v>Kiran</c:v>
                </c:pt>
                <c:pt idx="2">
                  <c:v>Priya</c:v>
                </c:pt>
                <c:pt idx="3">
                  <c:v>Rahul</c:v>
                </c:pt>
                <c:pt idx="4">
                  <c:v>Sneha</c:v>
                </c:pt>
              </c:strCache>
            </c:strRef>
          </c:cat>
          <c:val>
            <c:numRef>
              <c:f>'pivot 1'!$B$4:$B$9</c:f>
              <c:numCache>
                <c:formatCode>General</c:formatCode>
                <c:ptCount val="5"/>
                <c:pt idx="0">
                  <c:v>4.2</c:v>
                </c:pt>
                <c:pt idx="1">
                  <c:v>4.5999999999999996</c:v>
                </c:pt>
                <c:pt idx="2">
                  <c:v>1.7142857142857142</c:v>
                </c:pt>
                <c:pt idx="3">
                  <c:v>4</c:v>
                </c:pt>
                <c:pt idx="4">
                  <c:v>4.666666666666667</c:v>
                </c:pt>
              </c:numCache>
            </c:numRef>
          </c:val>
          <c:extLst>
            <c:ext xmlns:c16="http://schemas.microsoft.com/office/drawing/2014/chart" uri="{C3380CC4-5D6E-409C-BE32-E72D297353CC}">
              <c16:uniqueId val="{00000000-39B5-4757-995E-8AD4AD596141}"/>
            </c:ext>
          </c:extLst>
        </c:ser>
        <c:dLbls>
          <c:showLegendKey val="0"/>
          <c:showVal val="0"/>
          <c:showCatName val="0"/>
          <c:showSerName val="0"/>
          <c:showPercent val="0"/>
          <c:showBubbleSize val="0"/>
        </c:dLbls>
        <c:gapWidth val="65"/>
        <c:shape val="box"/>
        <c:axId val="1169881312"/>
        <c:axId val="1169881792"/>
        <c:axId val="0"/>
      </c:bar3DChart>
      <c:catAx>
        <c:axId val="1169881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9881792"/>
        <c:crosses val="autoZero"/>
        <c:auto val="1"/>
        <c:lblAlgn val="ctr"/>
        <c:lblOffset val="100"/>
        <c:noMultiLvlLbl val="0"/>
      </c:catAx>
      <c:valAx>
        <c:axId val="11698817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98813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2.xlsx]pivot2!PivotTable6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Resolution Time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BD-45A4-B2AA-A884C839F2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BD-45A4-B2AA-A884C839F2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5BD-45A4-B2AA-A884C839F2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5BD-45A4-B2AA-A884C839F2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5BD-45A4-B2AA-A884C839F275}"/>
              </c:ext>
            </c:extLst>
          </c:dPt>
          <c:cat>
            <c:strRef>
              <c:f>pivot2!$A$4:$A$9</c:f>
              <c:strCache>
                <c:ptCount val="5"/>
                <c:pt idx="0">
                  <c:v>Account</c:v>
                </c:pt>
                <c:pt idx="1">
                  <c:v>Billing</c:v>
                </c:pt>
                <c:pt idx="2">
                  <c:v>General</c:v>
                </c:pt>
                <c:pt idx="3">
                  <c:v>Refund</c:v>
                </c:pt>
                <c:pt idx="4">
                  <c:v>Technical</c:v>
                </c:pt>
              </c:strCache>
            </c:strRef>
          </c:cat>
          <c:val>
            <c:numRef>
              <c:f>pivot2!$B$4:$B$9</c:f>
              <c:numCache>
                <c:formatCode>General</c:formatCode>
                <c:ptCount val="5"/>
                <c:pt idx="0">
                  <c:v>2.25</c:v>
                </c:pt>
                <c:pt idx="1">
                  <c:v>14.571428571428571</c:v>
                </c:pt>
                <c:pt idx="2">
                  <c:v>1.5</c:v>
                </c:pt>
                <c:pt idx="3">
                  <c:v>3</c:v>
                </c:pt>
                <c:pt idx="4">
                  <c:v>4.5555555555555554</c:v>
                </c:pt>
              </c:numCache>
            </c:numRef>
          </c:val>
          <c:extLst>
            <c:ext xmlns:c16="http://schemas.microsoft.com/office/drawing/2014/chart" uri="{C3380CC4-5D6E-409C-BE32-E72D297353CC}">
              <c16:uniqueId val="{0000000A-55BD-45A4-B2AA-A884C839F27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951549284668185"/>
          <c:y val="0.3560899926006002"/>
          <c:w val="0.17789264912711206"/>
          <c:h val="0.580533986168991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2.xlsx]pivot3!PivotTable7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pivot3!$B$3:$B$4</c:f>
              <c:strCache>
                <c:ptCount val="1"/>
                <c:pt idx="0">
                  <c:v>Breached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pivot3!$A$5:$A$10</c:f>
              <c:strCache>
                <c:ptCount val="5"/>
                <c:pt idx="0">
                  <c:v>Account</c:v>
                </c:pt>
                <c:pt idx="1">
                  <c:v>Billing</c:v>
                </c:pt>
                <c:pt idx="2">
                  <c:v>General</c:v>
                </c:pt>
                <c:pt idx="3">
                  <c:v>Refund</c:v>
                </c:pt>
                <c:pt idx="4">
                  <c:v>Technical</c:v>
                </c:pt>
              </c:strCache>
            </c:strRef>
          </c:cat>
          <c:val>
            <c:numRef>
              <c:f>pivot3!$B$5:$B$10</c:f>
              <c:numCache>
                <c:formatCode>General</c:formatCode>
                <c:ptCount val="5"/>
                <c:pt idx="0">
                  <c:v>3</c:v>
                </c:pt>
                <c:pt idx="1">
                  <c:v>3</c:v>
                </c:pt>
                <c:pt idx="2">
                  <c:v>4</c:v>
                </c:pt>
                <c:pt idx="3">
                  <c:v>4</c:v>
                </c:pt>
                <c:pt idx="4">
                  <c:v>6</c:v>
                </c:pt>
              </c:numCache>
            </c:numRef>
          </c:val>
          <c:extLst>
            <c:ext xmlns:c16="http://schemas.microsoft.com/office/drawing/2014/chart" uri="{C3380CC4-5D6E-409C-BE32-E72D297353CC}">
              <c16:uniqueId val="{00000000-E598-42C6-8813-4E75E2DE4FD0}"/>
            </c:ext>
          </c:extLst>
        </c:ser>
        <c:ser>
          <c:idx val="1"/>
          <c:order val="1"/>
          <c:tx>
            <c:strRef>
              <c:f>pivot3!$C$3:$C$4</c:f>
              <c:strCache>
                <c:ptCount val="1"/>
                <c:pt idx="0">
                  <c:v>Met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pivot3!$A$5:$A$10</c:f>
              <c:strCache>
                <c:ptCount val="5"/>
                <c:pt idx="0">
                  <c:v>Account</c:v>
                </c:pt>
                <c:pt idx="1">
                  <c:v>Billing</c:v>
                </c:pt>
                <c:pt idx="2">
                  <c:v>General</c:v>
                </c:pt>
                <c:pt idx="3">
                  <c:v>Refund</c:v>
                </c:pt>
                <c:pt idx="4">
                  <c:v>Technical</c:v>
                </c:pt>
              </c:strCache>
            </c:strRef>
          </c:cat>
          <c:val>
            <c:numRef>
              <c:f>pivot3!$C$5:$C$10</c:f>
              <c:numCache>
                <c:formatCode>General</c:formatCode>
                <c:ptCount val="5"/>
                <c:pt idx="0">
                  <c:v>1</c:v>
                </c:pt>
                <c:pt idx="1">
                  <c:v>4</c:v>
                </c:pt>
                <c:pt idx="2">
                  <c:v>2</c:v>
                </c:pt>
                <c:pt idx="4">
                  <c:v>3</c:v>
                </c:pt>
              </c:numCache>
            </c:numRef>
          </c:val>
          <c:extLst>
            <c:ext xmlns:c16="http://schemas.microsoft.com/office/drawing/2014/chart" uri="{C3380CC4-5D6E-409C-BE32-E72D297353CC}">
              <c16:uniqueId val="{00000003-90BB-4DEB-B15E-402FA9E9504C}"/>
            </c:ext>
          </c:extLst>
        </c:ser>
        <c:dLbls>
          <c:showLegendKey val="0"/>
          <c:showVal val="0"/>
          <c:showCatName val="0"/>
          <c:showSerName val="0"/>
          <c:showPercent val="0"/>
          <c:showBubbleSize val="0"/>
        </c:dLbls>
        <c:gapWidth val="150"/>
        <c:shape val="box"/>
        <c:axId val="983805952"/>
        <c:axId val="983806432"/>
        <c:axId val="0"/>
      </c:bar3DChart>
      <c:catAx>
        <c:axId val="98380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806432"/>
        <c:crosses val="autoZero"/>
        <c:auto val="1"/>
        <c:lblAlgn val="ctr"/>
        <c:lblOffset val="100"/>
        <c:noMultiLvlLbl val="0"/>
      </c:catAx>
      <c:valAx>
        <c:axId val="98380643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80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2.xlsx]pivot4!PivotTable8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pivot4!$A$3</c:f>
              <c:strCache>
                <c:ptCount val="1"/>
                <c:pt idx="0">
                  <c:v>Average of Resolution_Time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pivot4!$A$4</c:f>
              <c:strCache>
                <c:ptCount val="1"/>
                <c:pt idx="0">
                  <c:v>Total</c:v>
                </c:pt>
              </c:strCache>
            </c:strRef>
          </c:cat>
          <c:val>
            <c:numRef>
              <c:f>pivot4!$A$4</c:f>
              <c:numCache>
                <c:formatCode>General</c:formatCode>
                <c:ptCount val="1"/>
                <c:pt idx="0">
                  <c:v>5.7666666666666666</c:v>
                </c:pt>
              </c:numCache>
            </c:numRef>
          </c:val>
          <c:extLst>
            <c:ext xmlns:c16="http://schemas.microsoft.com/office/drawing/2014/chart" uri="{C3380CC4-5D6E-409C-BE32-E72D297353CC}">
              <c16:uniqueId val="{00000000-C2DB-4E23-924D-1433263EAA0C}"/>
            </c:ext>
          </c:extLst>
        </c:ser>
        <c:ser>
          <c:idx val="1"/>
          <c:order val="1"/>
          <c:tx>
            <c:strRef>
              <c:f>pivot4!$B$3</c:f>
              <c:strCache>
                <c:ptCount val="1"/>
                <c:pt idx="0">
                  <c:v>Average of CSAT_Score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pivot4!$A$4</c:f>
              <c:strCache>
                <c:ptCount val="1"/>
                <c:pt idx="0">
                  <c:v>Total</c:v>
                </c:pt>
              </c:strCache>
            </c:strRef>
          </c:cat>
          <c:val>
            <c:numRef>
              <c:f>pivot4!$B$4</c:f>
              <c:numCache>
                <c:formatCode>General</c:formatCode>
                <c:ptCount val="1"/>
                <c:pt idx="0">
                  <c:v>3.7333333333333334</c:v>
                </c:pt>
              </c:numCache>
            </c:numRef>
          </c:val>
          <c:extLst>
            <c:ext xmlns:c16="http://schemas.microsoft.com/office/drawing/2014/chart" uri="{C3380CC4-5D6E-409C-BE32-E72D297353CC}">
              <c16:uniqueId val="{00000001-C2DB-4E23-924D-1433263EAA0C}"/>
            </c:ext>
          </c:extLst>
        </c:ser>
        <c:ser>
          <c:idx val="2"/>
          <c:order val="2"/>
          <c:tx>
            <c:strRef>
              <c:f>pivot4!$C$3</c:f>
              <c:strCache>
                <c:ptCount val="1"/>
                <c:pt idx="0">
                  <c:v>Count of Ticket_ID</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pivot4!$A$4</c:f>
              <c:strCache>
                <c:ptCount val="1"/>
                <c:pt idx="0">
                  <c:v>Total</c:v>
                </c:pt>
              </c:strCache>
            </c:strRef>
          </c:cat>
          <c:val>
            <c:numRef>
              <c:f>pivot4!$C$4</c:f>
              <c:numCache>
                <c:formatCode>General</c:formatCode>
                <c:ptCount val="1"/>
                <c:pt idx="0">
                  <c:v>30</c:v>
                </c:pt>
              </c:numCache>
            </c:numRef>
          </c:val>
          <c:extLst>
            <c:ext xmlns:c16="http://schemas.microsoft.com/office/drawing/2014/chart" uri="{C3380CC4-5D6E-409C-BE32-E72D297353CC}">
              <c16:uniqueId val="{00000002-C2DB-4E23-924D-1433263EAA0C}"/>
            </c:ext>
          </c:extLst>
        </c:ser>
        <c:dLbls>
          <c:showLegendKey val="0"/>
          <c:showVal val="0"/>
          <c:showCatName val="0"/>
          <c:showSerName val="0"/>
          <c:showPercent val="0"/>
          <c:showBubbleSize val="0"/>
        </c:dLbls>
        <c:gapWidth val="65"/>
        <c:shape val="box"/>
        <c:axId val="1169861152"/>
        <c:axId val="1169877952"/>
        <c:axId val="0"/>
      </c:bar3DChart>
      <c:catAx>
        <c:axId val="1169861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9877952"/>
        <c:crosses val="autoZero"/>
        <c:auto val="1"/>
        <c:lblAlgn val="ctr"/>
        <c:lblOffset val="100"/>
        <c:noMultiLvlLbl val="0"/>
      </c:catAx>
      <c:valAx>
        <c:axId val="11698779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9861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236220</xdr:colOff>
      <xdr:row>6</xdr:row>
      <xdr:rowOff>41910</xdr:rowOff>
    </xdr:from>
    <xdr:to>
      <xdr:col>10</xdr:col>
      <xdr:colOff>541020</xdr:colOff>
      <xdr:row>21</xdr:row>
      <xdr:rowOff>41910</xdr:rowOff>
    </xdr:to>
    <xdr:graphicFrame macro="">
      <xdr:nvGraphicFramePr>
        <xdr:cNvPr id="3" name="Chart 2">
          <a:extLst>
            <a:ext uri="{FF2B5EF4-FFF2-40B4-BE49-F238E27FC236}">
              <a16:creationId xmlns:a16="http://schemas.microsoft.com/office/drawing/2014/main" id="{A449398D-68A5-5F57-014E-417AE9019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6</xdr:row>
      <xdr:rowOff>41910</xdr:rowOff>
    </xdr:from>
    <xdr:to>
      <xdr:col>10</xdr:col>
      <xdr:colOff>259080</xdr:colOff>
      <xdr:row>21</xdr:row>
      <xdr:rowOff>41910</xdr:rowOff>
    </xdr:to>
    <xdr:graphicFrame macro="">
      <xdr:nvGraphicFramePr>
        <xdr:cNvPr id="3" name="Chart 2">
          <a:extLst>
            <a:ext uri="{FF2B5EF4-FFF2-40B4-BE49-F238E27FC236}">
              <a16:creationId xmlns:a16="http://schemas.microsoft.com/office/drawing/2014/main" id="{760A1A6D-2760-4498-6578-9A12FF186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6</xdr:row>
      <xdr:rowOff>3810</xdr:rowOff>
    </xdr:from>
    <xdr:to>
      <xdr:col>12</xdr:col>
      <xdr:colOff>304800</xdr:colOff>
      <xdr:row>21</xdr:row>
      <xdr:rowOff>3810</xdr:rowOff>
    </xdr:to>
    <xdr:graphicFrame macro="">
      <xdr:nvGraphicFramePr>
        <xdr:cNvPr id="2" name="Chart 1">
          <a:extLst>
            <a:ext uri="{FF2B5EF4-FFF2-40B4-BE49-F238E27FC236}">
              <a16:creationId xmlns:a16="http://schemas.microsoft.com/office/drawing/2014/main" id="{FE167E99-4A30-8BBB-15CE-3FF2631A6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6</xdr:row>
      <xdr:rowOff>41910</xdr:rowOff>
    </xdr:from>
    <xdr:to>
      <xdr:col>8</xdr:col>
      <xdr:colOff>381000</xdr:colOff>
      <xdr:row>21</xdr:row>
      <xdr:rowOff>41910</xdr:rowOff>
    </xdr:to>
    <xdr:graphicFrame macro="">
      <xdr:nvGraphicFramePr>
        <xdr:cNvPr id="2" name="Chart 1">
          <a:extLst>
            <a:ext uri="{FF2B5EF4-FFF2-40B4-BE49-F238E27FC236}">
              <a16:creationId xmlns:a16="http://schemas.microsoft.com/office/drawing/2014/main" id="{2463B34F-1EBF-F8D6-D9BD-C1597A4A3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414617</xdr:colOff>
      <xdr:row>6</xdr:row>
      <xdr:rowOff>134468</xdr:rowOff>
    </xdr:from>
    <xdr:to>
      <xdr:col>17</xdr:col>
      <xdr:colOff>409446</xdr:colOff>
      <xdr:row>23</xdr:row>
      <xdr:rowOff>121825</xdr:rowOff>
    </xdr:to>
    <xdr:graphicFrame macro="">
      <xdr:nvGraphicFramePr>
        <xdr:cNvPr id="2" name="Chart 1">
          <a:extLst>
            <a:ext uri="{FF2B5EF4-FFF2-40B4-BE49-F238E27FC236}">
              <a16:creationId xmlns:a16="http://schemas.microsoft.com/office/drawing/2014/main" id="{CE6A106F-70B3-461E-AEB8-ECCB9F9DC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571501</xdr:colOff>
      <xdr:row>6</xdr:row>
      <xdr:rowOff>89646</xdr:rowOff>
    </xdr:from>
    <xdr:to>
      <xdr:col>28</xdr:col>
      <xdr:colOff>336177</xdr:colOff>
      <xdr:row>23</xdr:row>
      <xdr:rowOff>123263</xdr:rowOff>
    </xdr:to>
    <xdr:graphicFrame macro="">
      <xdr:nvGraphicFramePr>
        <xdr:cNvPr id="4" name="Chart 3">
          <a:extLst>
            <a:ext uri="{FF2B5EF4-FFF2-40B4-BE49-F238E27FC236}">
              <a16:creationId xmlns:a16="http://schemas.microsoft.com/office/drawing/2014/main" id="{0575BC78-159D-4095-9DB0-0F5BAF2FD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24</xdr:row>
      <xdr:rowOff>49992</xdr:rowOff>
    </xdr:from>
    <xdr:to>
      <xdr:col>28</xdr:col>
      <xdr:colOff>437030</xdr:colOff>
      <xdr:row>43</xdr:row>
      <xdr:rowOff>11205</xdr:rowOff>
    </xdr:to>
    <xdr:graphicFrame macro="">
      <xdr:nvGraphicFramePr>
        <xdr:cNvPr id="5" name="Chart 4">
          <a:extLst>
            <a:ext uri="{FF2B5EF4-FFF2-40B4-BE49-F238E27FC236}">
              <a16:creationId xmlns:a16="http://schemas.microsoft.com/office/drawing/2014/main" id="{05E99237-E340-4973-AF80-D65BB5FD4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347382</xdr:colOff>
      <xdr:row>24</xdr:row>
      <xdr:rowOff>22411</xdr:rowOff>
    </xdr:from>
    <xdr:to>
      <xdr:col>17</xdr:col>
      <xdr:colOff>437028</xdr:colOff>
      <xdr:row>43</xdr:row>
      <xdr:rowOff>68098</xdr:rowOff>
    </xdr:to>
    <xdr:graphicFrame macro="">
      <xdr:nvGraphicFramePr>
        <xdr:cNvPr id="6" name="Chart 5">
          <a:extLst>
            <a:ext uri="{FF2B5EF4-FFF2-40B4-BE49-F238E27FC236}">
              <a16:creationId xmlns:a16="http://schemas.microsoft.com/office/drawing/2014/main" id="{AB336E68-E02E-451F-A484-A729A60A7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286871</xdr:colOff>
      <xdr:row>26</xdr:row>
      <xdr:rowOff>78441</xdr:rowOff>
    </xdr:from>
    <xdr:to>
      <xdr:col>7</xdr:col>
      <xdr:colOff>134469</xdr:colOff>
      <xdr:row>40</xdr:row>
      <xdr:rowOff>100853</xdr:rowOff>
    </xdr:to>
    <mc:AlternateContent xmlns:mc="http://schemas.openxmlformats.org/markup-compatibility/2006">
      <mc:Choice xmlns:a14="http://schemas.microsoft.com/office/drawing/2010/main" Requires="a14">
        <xdr:graphicFrame macro="">
          <xdr:nvGraphicFramePr>
            <xdr:cNvPr id="8" name="Agent_Name">
              <a:extLst>
                <a:ext uri="{FF2B5EF4-FFF2-40B4-BE49-F238E27FC236}">
                  <a16:creationId xmlns:a16="http://schemas.microsoft.com/office/drawing/2014/main" id="{98D40481-513A-D78E-6719-E93554E5630B}"/>
                </a:ext>
              </a:extLst>
            </xdr:cNvPr>
            <xdr:cNvGraphicFramePr/>
          </xdr:nvGraphicFramePr>
          <xdr:xfrm>
            <a:off x="0" y="0"/>
            <a:ext cx="0" cy="0"/>
          </xdr:xfrm>
          <a:graphic>
            <a:graphicData uri="http://schemas.microsoft.com/office/drawing/2010/slicer">
              <sle:slicer xmlns:sle="http://schemas.microsoft.com/office/drawing/2010/slicer" name="Agent_Name"/>
            </a:graphicData>
          </a:graphic>
        </xdr:graphicFrame>
      </mc:Choice>
      <mc:Fallback>
        <xdr:sp macro="" textlink="">
          <xdr:nvSpPr>
            <xdr:cNvPr id="0" name=""/>
            <xdr:cNvSpPr>
              <a:spLocks noTextEdit="1"/>
            </xdr:cNvSpPr>
          </xdr:nvSpPr>
          <xdr:spPr>
            <a:xfrm>
              <a:off x="1497106" y="4740088"/>
              <a:ext cx="2873187" cy="253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520404</xdr:colOff>
      <xdr:row>7</xdr:row>
      <xdr:rowOff>72612</xdr:rowOff>
    </xdr:from>
    <xdr:to>
      <xdr:col>6</xdr:col>
      <xdr:colOff>526678</xdr:colOff>
      <xdr:row>25</xdr:row>
      <xdr:rowOff>78442</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6D81870-E480-3DF0-0D22-766F34F537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30639" y="1327671"/>
              <a:ext cx="2426745" cy="3233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112059</xdr:colOff>
      <xdr:row>8</xdr:row>
      <xdr:rowOff>134471</xdr:rowOff>
    </xdr:from>
    <xdr:to>
      <xdr:col>35</xdr:col>
      <xdr:colOff>358589</xdr:colOff>
      <xdr:row>38</xdr:row>
      <xdr:rowOff>145677</xdr:rowOff>
    </xdr:to>
    <xdr:sp macro="" textlink="">
      <xdr:nvSpPr>
        <xdr:cNvPr id="10" name="Rectangle: Rounded Corners 9">
          <a:extLst>
            <a:ext uri="{FF2B5EF4-FFF2-40B4-BE49-F238E27FC236}">
              <a16:creationId xmlns:a16="http://schemas.microsoft.com/office/drawing/2014/main" id="{E33A59D0-D9F3-F96A-C1DD-A82CD6F30663}"/>
            </a:ext>
          </a:extLst>
        </xdr:cNvPr>
        <xdr:cNvSpPr/>
      </xdr:nvSpPr>
      <xdr:spPr>
        <a:xfrm>
          <a:off x="17660471" y="1568824"/>
          <a:ext cx="3877236" cy="539002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IN" b="1"/>
        </a:p>
        <a:p>
          <a:r>
            <a:rPr lang="en-IN" sz="2000">
              <a:solidFill>
                <a:srgbClr val="002060"/>
              </a:solidFill>
            </a:rPr>
            <a:t>Business Performance Insights</a:t>
          </a:r>
          <a:endParaRPr lang="en-IN" sz="2000" b="1">
            <a:solidFill>
              <a:srgbClr val="002060"/>
            </a:solidFill>
          </a:endParaRPr>
        </a:p>
        <a:p>
          <a:endParaRPr lang="en-IN" b="1"/>
        </a:p>
        <a:p>
          <a:r>
            <a:rPr lang="en-IN" sz="1800" b="1"/>
            <a:t>1.Top Performer:</a:t>
          </a:r>
          <a:r>
            <a:rPr lang="en-IN" sz="1800"/>
            <a:t> Agent </a:t>
          </a:r>
          <a:r>
            <a:rPr lang="en-IN" sz="1800" b="1"/>
            <a:t>Sneha</a:t>
          </a:r>
          <a:r>
            <a:rPr lang="en-IN" sz="1800"/>
            <a:t> (4.67 CSAT).</a:t>
          </a:r>
        </a:p>
        <a:p>
          <a:endParaRPr lang="en-IN" sz="1800"/>
        </a:p>
        <a:p>
          <a:r>
            <a:rPr lang="en-IN" sz="1800" b="1"/>
            <a:t>2.Process Bottleneck:</a:t>
          </a:r>
          <a:r>
            <a:rPr lang="en-IN" sz="1800"/>
            <a:t> </a:t>
          </a:r>
          <a:r>
            <a:rPr lang="en-IN" sz="1800" b="1"/>
            <a:t>Billing</a:t>
          </a:r>
          <a:r>
            <a:rPr lang="en-IN" sz="1800"/>
            <a:t> category resolution time is very high (</a:t>
          </a:r>
          <a:r>
            <a:rPr lang="en-IN" sz="1800" b="1"/>
            <a:t>14.5 hours</a:t>
          </a:r>
          <a:r>
            <a:rPr lang="en-IN" sz="1800"/>
            <a:t>).</a:t>
          </a:r>
        </a:p>
        <a:p>
          <a:endParaRPr lang="en-IN" sz="1800"/>
        </a:p>
        <a:p>
          <a:r>
            <a:rPr lang="en-IN" sz="1800" b="1"/>
            <a:t>3.SLA Warning:</a:t>
          </a:r>
          <a:r>
            <a:rPr lang="en-IN" sz="1800"/>
            <a:t> </a:t>
          </a:r>
          <a:r>
            <a:rPr lang="en-IN" sz="1800" b="1"/>
            <a:t>67%</a:t>
          </a:r>
          <a:r>
            <a:rPr lang="en-IN" sz="1800"/>
            <a:t> of tickets are breaching the 10-hour limit.</a:t>
          </a:r>
        </a:p>
        <a:p>
          <a:endParaRPr lang="en-IN" sz="1800"/>
        </a:p>
        <a:p>
          <a:r>
            <a:rPr lang="en-IN" sz="1800" b="1"/>
            <a:t>4.Improvement Area:</a:t>
          </a:r>
          <a:r>
            <a:rPr lang="en-IN" sz="1800"/>
            <a:t> Agent </a:t>
          </a:r>
          <a:r>
            <a:rPr lang="en-IN" sz="1800" b="1"/>
            <a:t>Priya</a:t>
          </a:r>
          <a:r>
            <a:rPr lang="en-IN" sz="1800"/>
            <a:t> needs training to improve customer satisfaction.</a:t>
          </a:r>
        </a:p>
        <a:p>
          <a:endParaRPr lang="en-IN"/>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ng Patil" refreshedDate="46095.809274305553" createdVersion="8" refreshedVersion="8" minRefreshableVersion="3" recordCount="30" xr:uid="{B57C975C-FDA0-49B7-AC10-8E643BAC88F0}">
  <cacheSource type="worksheet">
    <worksheetSource name="Table1"/>
  </cacheSource>
  <cacheFields count="8">
    <cacheField name="Ticket_ID" numFmtId="0">
      <sharedItems/>
    </cacheField>
    <cacheField name="Date" numFmtId="16">
      <sharedItems containsSemiMixedTypes="0" containsNonDate="0" containsDate="1" containsString="0" minDate="2026-03-01T00:00:00" maxDate="2026-03-12T00:00:00"/>
    </cacheField>
    <cacheField name="Agent_Name" numFmtId="0">
      <sharedItems count="5">
        <s v="Rahul"/>
        <s v="Priya"/>
        <s v="Amit"/>
        <s v="Sneha"/>
        <s v="Kiran"/>
      </sharedItems>
    </cacheField>
    <cacheField name="Category" numFmtId="0">
      <sharedItems count="5">
        <s v="Technical"/>
        <s v="Billing"/>
        <s v="General"/>
        <s v="Refund"/>
        <s v="Account"/>
      </sharedItems>
    </cacheField>
    <cacheField name="CSAT_Score" numFmtId="0">
      <sharedItems containsSemiMixedTypes="0" containsString="0" containsNumber="1" containsInteger="1" minValue="1" maxValue="5"/>
    </cacheField>
    <cacheField name="Response_Time" numFmtId="0">
      <sharedItems containsSemiMixedTypes="0" containsString="0" containsNumber="1" containsInteger="1" minValue="5" maxValue="65"/>
    </cacheField>
    <cacheField name="Resolution_Time" numFmtId="0">
      <sharedItems containsSemiMixedTypes="0" containsString="0" containsNumber="1" containsInteger="1" minValue="1" maxValue="20"/>
    </cacheField>
    <cacheField name="SLA Performance" numFmtId="0">
      <sharedItems count="2">
        <s v="Met"/>
        <s v="Breached"/>
      </sharedItems>
    </cacheField>
  </cacheFields>
  <extLst>
    <ext xmlns:x14="http://schemas.microsoft.com/office/spreadsheetml/2009/9/main" uri="{725AE2AE-9491-48be-B2B4-4EB974FC3084}">
      <x14:pivotCacheDefinition pivotCacheId="1039482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TC101"/>
    <d v="2026-03-01T00:00:00"/>
    <x v="0"/>
    <x v="0"/>
    <n v="4"/>
    <n v="15"/>
    <n v="4"/>
    <x v="0"/>
  </r>
  <r>
    <s v="TC102"/>
    <d v="2026-03-01T00:00:00"/>
    <x v="1"/>
    <x v="1"/>
    <n v="2"/>
    <n v="45"/>
    <n v="12"/>
    <x v="0"/>
  </r>
  <r>
    <s v="TC103"/>
    <d v="2026-03-01T00:00:00"/>
    <x v="2"/>
    <x v="2"/>
    <n v="5"/>
    <n v="5"/>
    <n v="1"/>
    <x v="1"/>
  </r>
  <r>
    <s v="TC104"/>
    <d v="2026-03-02T00:00:00"/>
    <x v="0"/>
    <x v="0"/>
    <n v="5"/>
    <n v="12"/>
    <n v="3"/>
    <x v="1"/>
  </r>
  <r>
    <s v="TC105"/>
    <d v="2026-03-02T00:00:00"/>
    <x v="1"/>
    <x v="1"/>
    <n v="1"/>
    <n v="50"/>
    <n v="14"/>
    <x v="1"/>
  </r>
  <r>
    <s v="TC106"/>
    <d v="2026-03-02T00:00:00"/>
    <x v="3"/>
    <x v="2"/>
    <n v="4"/>
    <n v="8"/>
    <n v="2"/>
    <x v="0"/>
  </r>
  <r>
    <s v="TC107"/>
    <d v="2026-03-03T00:00:00"/>
    <x v="2"/>
    <x v="0"/>
    <n v="4"/>
    <n v="20"/>
    <n v="5"/>
    <x v="1"/>
  </r>
  <r>
    <s v="TC108"/>
    <d v="2026-03-03T00:00:00"/>
    <x v="1"/>
    <x v="1"/>
    <n v="2"/>
    <n v="60"/>
    <n v="18"/>
    <x v="1"/>
  </r>
  <r>
    <s v="TC109"/>
    <d v="2026-03-03T00:00:00"/>
    <x v="0"/>
    <x v="2"/>
    <n v="5"/>
    <n v="10"/>
    <n v="1"/>
    <x v="0"/>
  </r>
  <r>
    <s v="TC110"/>
    <d v="2026-03-04T00:00:00"/>
    <x v="3"/>
    <x v="0"/>
    <n v="4"/>
    <n v="18"/>
    <n v="4"/>
    <x v="1"/>
  </r>
  <r>
    <s v="TC111"/>
    <d v="2026-03-05T00:00:00"/>
    <x v="4"/>
    <x v="3"/>
    <n v="5"/>
    <n v="10"/>
    <n v="2"/>
    <x v="1"/>
  </r>
  <r>
    <s v="TC112"/>
    <d v="2026-03-05T00:00:00"/>
    <x v="1"/>
    <x v="1"/>
    <n v="2"/>
    <n v="55"/>
    <n v="15"/>
    <x v="0"/>
  </r>
  <r>
    <s v="TC113"/>
    <d v="2026-03-05T00:00:00"/>
    <x v="0"/>
    <x v="0"/>
    <n v="3"/>
    <n v="25"/>
    <n v="6"/>
    <x v="1"/>
  </r>
  <r>
    <s v="TC114"/>
    <d v="2026-03-06T00:00:00"/>
    <x v="3"/>
    <x v="4"/>
    <n v="5"/>
    <n v="5"/>
    <n v="1"/>
    <x v="0"/>
  </r>
  <r>
    <s v="TC115"/>
    <d v="2026-03-06T00:00:00"/>
    <x v="4"/>
    <x v="3"/>
    <n v="4"/>
    <n v="12"/>
    <n v="3"/>
    <x v="1"/>
  </r>
  <r>
    <s v="TC116"/>
    <d v="2026-03-06T00:00:00"/>
    <x v="1"/>
    <x v="1"/>
    <n v="1"/>
    <n v="48"/>
    <n v="13"/>
    <x v="1"/>
  </r>
  <r>
    <s v="TC117"/>
    <d v="2026-03-07T00:00:00"/>
    <x v="2"/>
    <x v="0"/>
    <n v="4"/>
    <n v="15"/>
    <n v="4"/>
    <x v="0"/>
  </r>
  <r>
    <s v="TC118"/>
    <d v="2026-03-07T00:00:00"/>
    <x v="0"/>
    <x v="4"/>
    <n v="3"/>
    <n v="20"/>
    <n v="5"/>
    <x v="1"/>
  </r>
  <r>
    <s v="TC119"/>
    <d v="2026-03-07T00:00:00"/>
    <x v="3"/>
    <x v="2"/>
    <n v="5"/>
    <n v="7"/>
    <n v="2"/>
    <x v="1"/>
  </r>
  <r>
    <s v="TC120"/>
    <d v="2026-03-08T00:00:00"/>
    <x v="4"/>
    <x v="3"/>
    <n v="4"/>
    <n v="14"/>
    <n v="4"/>
    <x v="1"/>
  </r>
  <r>
    <s v="TC121"/>
    <d v="2026-03-08T00:00:00"/>
    <x v="2"/>
    <x v="0"/>
    <n v="5"/>
    <n v="18"/>
    <n v="5"/>
    <x v="1"/>
  </r>
  <r>
    <s v="TC122"/>
    <d v="2026-03-08T00:00:00"/>
    <x v="1"/>
    <x v="1"/>
    <n v="1"/>
    <n v="65"/>
    <n v="20"/>
    <x v="0"/>
  </r>
  <r>
    <s v="TC123"/>
    <d v="2026-03-09T00:00:00"/>
    <x v="0"/>
    <x v="2"/>
    <n v="4"/>
    <n v="10"/>
    <n v="2"/>
    <x v="1"/>
  </r>
  <r>
    <s v="TC124"/>
    <d v="2026-03-09T00:00:00"/>
    <x v="3"/>
    <x v="4"/>
    <n v="5"/>
    <n v="6"/>
    <n v="1"/>
    <x v="1"/>
  </r>
  <r>
    <s v="TC125"/>
    <d v="2026-03-09T00:00:00"/>
    <x v="4"/>
    <x v="3"/>
    <n v="5"/>
    <n v="11"/>
    <n v="3"/>
    <x v="1"/>
  </r>
  <r>
    <s v="TC126"/>
    <d v="2026-03-10T00:00:00"/>
    <x v="2"/>
    <x v="0"/>
    <n v="3"/>
    <n v="22"/>
    <n v="6"/>
    <x v="0"/>
  </r>
  <r>
    <s v="TC127"/>
    <d v="2026-03-10T00:00:00"/>
    <x v="1"/>
    <x v="1"/>
    <n v="3"/>
    <n v="40"/>
    <n v="10"/>
    <x v="0"/>
  </r>
  <r>
    <s v="TC128"/>
    <d v="2026-03-10T00:00:00"/>
    <x v="3"/>
    <x v="2"/>
    <n v="5"/>
    <n v="5"/>
    <n v="1"/>
    <x v="1"/>
  </r>
  <r>
    <s v="TC129"/>
    <d v="2026-03-11T00:00:00"/>
    <x v="0"/>
    <x v="0"/>
    <n v="4"/>
    <n v="16"/>
    <n v="4"/>
    <x v="1"/>
  </r>
  <r>
    <s v="TC130"/>
    <d v="2026-03-11T00:00:00"/>
    <x v="4"/>
    <x v="4"/>
    <n v="5"/>
    <n v="9"/>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DE98FD-E86D-41A0-94D2-04082F8C3224}"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8">
    <pivotField showAll="0"/>
    <pivotField numFmtId="16" showAll="0"/>
    <pivotField axis="axisRow" showAll="0">
      <items count="6">
        <item x="2"/>
        <item x="4"/>
        <item x="1"/>
        <item x="0"/>
        <item x="3"/>
        <item t="default"/>
      </items>
    </pivotField>
    <pivotField showAll="0">
      <items count="6">
        <item x="4"/>
        <item x="1"/>
        <item x="2"/>
        <item x="3"/>
        <item x="0"/>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Average of CSAT_Score" fld="4" subtotal="average" baseField="2"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A7A23-5499-4FDC-808E-50CD10EF7CB3}"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8">
    <pivotField showAll="0"/>
    <pivotField numFmtId="16" showAll="0"/>
    <pivotField showAll="0">
      <items count="6">
        <item x="2"/>
        <item x="4"/>
        <item x="1"/>
        <item x="0"/>
        <item x="3"/>
        <item t="default"/>
      </items>
    </pivotField>
    <pivotField axis="axisRow" showAll="0">
      <items count="6">
        <item x="4"/>
        <item x="1"/>
        <item x="2"/>
        <item x="3"/>
        <item x="0"/>
        <item t="default"/>
      </items>
    </pivotField>
    <pivotField showAll="0"/>
    <pivotField showAll="0"/>
    <pivotField dataField="1" showAll="0"/>
    <pivotField showAll="0"/>
  </pivotFields>
  <rowFields count="1">
    <field x="3"/>
  </rowFields>
  <rowItems count="6">
    <i>
      <x/>
    </i>
    <i>
      <x v="1"/>
    </i>
    <i>
      <x v="2"/>
    </i>
    <i>
      <x v="3"/>
    </i>
    <i>
      <x v="4"/>
    </i>
    <i t="grand">
      <x/>
    </i>
  </rowItems>
  <colItems count="1">
    <i/>
  </colItems>
  <dataFields count="1">
    <dataField name="Average of Resolution_Time" fld="6" subtotal="average" baseField="3" baseItem="0"/>
  </dataFields>
  <chartFormats count="18">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F82D49-7FB4-4D2C-B623-F84108C6BD67}"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8">
    <pivotField dataField="1" showAll="0"/>
    <pivotField numFmtId="16" showAll="0"/>
    <pivotField showAll="0">
      <items count="6">
        <item x="2"/>
        <item x="4"/>
        <item x="1"/>
        <item x="0"/>
        <item x="3"/>
        <item t="default"/>
      </items>
    </pivotField>
    <pivotField axis="axisRow" showAll="0">
      <items count="6">
        <item x="4"/>
        <item x="1"/>
        <item x="2"/>
        <item x="3"/>
        <item x="0"/>
        <item t="default"/>
      </items>
    </pivotField>
    <pivotField showAll="0"/>
    <pivotField showAll="0"/>
    <pivotField showAll="0"/>
    <pivotField axis="axisCol" showAll="0">
      <items count="3">
        <item x="1"/>
        <item x="0"/>
        <item t="default"/>
      </items>
    </pivotField>
  </pivotFields>
  <rowFields count="1">
    <field x="3"/>
  </rowFields>
  <rowItems count="6">
    <i>
      <x/>
    </i>
    <i>
      <x v="1"/>
    </i>
    <i>
      <x v="2"/>
    </i>
    <i>
      <x v="3"/>
    </i>
    <i>
      <x v="4"/>
    </i>
    <i t="grand">
      <x/>
    </i>
  </rowItems>
  <colFields count="1">
    <field x="7"/>
  </colFields>
  <colItems count="3">
    <i>
      <x/>
    </i>
    <i>
      <x v="1"/>
    </i>
    <i t="grand">
      <x/>
    </i>
  </colItems>
  <dataFields count="1">
    <dataField name="Count of Ticket_ID" fld="0" subtotal="count" baseField="3"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C0ABC-A30E-4ED7-A8CF-04594041D15C}"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4" firstHeaderRow="0" firstDataRow="1" firstDataCol="0"/>
  <pivotFields count="8">
    <pivotField dataField="1" showAll="0"/>
    <pivotField numFmtId="16" showAll="0"/>
    <pivotField showAll="0">
      <items count="6">
        <item x="2"/>
        <item x="4"/>
        <item x="1"/>
        <item x="0"/>
        <item x="3"/>
        <item t="default"/>
      </items>
    </pivotField>
    <pivotField showAll="0"/>
    <pivotField dataField="1" showAll="0"/>
    <pivotField showAll="0"/>
    <pivotField dataField="1" showAll="0"/>
    <pivotField showAll="0"/>
  </pivotFields>
  <rowItems count="1">
    <i/>
  </rowItems>
  <colFields count="1">
    <field x="-2"/>
  </colFields>
  <colItems count="3">
    <i>
      <x/>
    </i>
    <i i="1">
      <x v="1"/>
    </i>
    <i i="2">
      <x v="2"/>
    </i>
  </colItems>
  <dataFields count="3">
    <dataField name="Average of Resolution_Time" fld="6" subtotal="average" baseField="0" baseItem="0"/>
    <dataField name="Average of CSAT_Score" fld="4" subtotal="average" baseField="0" baseItem="1"/>
    <dataField name="Count of Ticket_ID" fld="0" subtotal="count" baseField="0" baseItem="1"/>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 xr10:uid="{4D8AE95C-67DA-4241-A8EB-C0F845571126}" sourceName="Agent_Name">
  <pivotTables>
    <pivotTable tabId="6" name="PivotTable5"/>
    <pivotTable tabId="7" name="PivotTable6"/>
    <pivotTable tabId="8" name="PivotTable7"/>
    <pivotTable tabId="9" name="PivotTable8"/>
  </pivotTables>
  <data>
    <tabular pivotCacheId="1039482358">
      <items count="5">
        <i x="2" s="1"/>
        <i x="4"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5B585A-C8D8-4214-96E6-29E30B3A9A26}" sourceName="Category">
  <pivotTables>
    <pivotTable tabId="6" name="PivotTable5"/>
  </pivotTables>
  <data>
    <tabular pivotCacheId="1039482358">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_Name" xr10:uid="{0EA89E65-5F3F-42EE-B06B-DB2CFEAB3013}" cache="Slicer_Agent_Name" caption="Agent_Name" style="SlicerStyleLight4" rowHeight="396000"/>
  <slicer name="Category" xr10:uid="{9C0DB9CC-7C41-4BAF-A9B3-0E51712C613F}" cache="Slicer_Category" caption="Category" style="SlicerStyleLight6"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A01D37-5791-4034-A74D-1AAB9354E2D2}" name="Table1" displayName="Table1" ref="B4:I34" totalsRowShown="0" headerRowDxfId="9" dataDxfId="8">
  <autoFilter ref="B4:I34" xr:uid="{F8A01D37-5791-4034-A74D-1AAB9354E2D2}"/>
  <tableColumns count="8">
    <tableColumn id="1" xr3:uid="{97D4D6F9-649C-4277-890C-2DFDDC17CAE9}" name="Ticket_ID" dataDxfId="7"/>
    <tableColumn id="2" xr3:uid="{D7C0A5CC-99E6-41BC-8020-619C50902A0E}" name="Date" dataDxfId="6"/>
    <tableColumn id="3" xr3:uid="{1EEE20C2-9160-4D85-A609-6F9B8FD0754E}" name="Agent_Name" dataDxfId="5"/>
    <tableColumn id="4" xr3:uid="{A30D0C7B-3B50-4991-9F99-5E1ED82A8A2F}" name="Category" dataDxfId="4"/>
    <tableColumn id="5" xr3:uid="{E996EE89-E1F8-45D8-B69E-68BD81648AE4}" name="CSAT_Score" dataDxfId="3"/>
    <tableColumn id="6" xr3:uid="{D06129A3-A38D-41FF-B8AE-B7A87EB55A66}" name="Response_Time" dataDxfId="2"/>
    <tableColumn id="7" xr3:uid="{59C5C82D-A2E6-4EA9-B748-0E9040D5F0CA}" name="Resolution_Time" dataDxfId="1"/>
    <tableColumn id="8" xr3:uid="{0FC7EB32-FEF6-4430-B02B-1CF7C6497654}" name="SLA Performance" dataDxfId="0">
      <calculatedColumnFormula>IF(G2&lt;=10, "Met", "Breached")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1D1A-0DEA-4874-9564-8CC08F0548C3}">
  <dimension ref="B3:I34"/>
  <sheetViews>
    <sheetView topLeftCell="A2" workbookViewId="0">
      <selection activeCell="K15" sqref="K15"/>
    </sheetView>
  </sheetViews>
  <sheetFormatPr defaultRowHeight="14.4" x14ac:dyDescent="0.3"/>
  <cols>
    <col min="2" max="2" width="13.5546875" customWidth="1"/>
    <col min="3" max="3" width="12.88671875" customWidth="1"/>
    <col min="4" max="4" width="18.21875" customWidth="1"/>
    <col min="5" max="5" width="13.88671875" customWidth="1"/>
    <col min="6" max="6" width="15.33203125" customWidth="1"/>
    <col min="7" max="7" width="19.5546875" customWidth="1"/>
    <col min="8" max="8" width="20.77734375" customWidth="1"/>
    <col min="9" max="9" width="22.88671875" customWidth="1"/>
  </cols>
  <sheetData>
    <row r="3" spans="2:9" ht="15" thickBot="1" x14ac:dyDescent="0.35"/>
    <row r="4" spans="2:9" ht="18.600000000000001" thickBot="1" x14ac:dyDescent="0.4">
      <c r="B4" s="4" t="s">
        <v>46</v>
      </c>
      <c r="C4" s="2" t="s">
        <v>41</v>
      </c>
      <c r="D4" s="2" t="s">
        <v>0</v>
      </c>
      <c r="E4" s="1" t="s">
        <v>42</v>
      </c>
      <c r="F4" s="1" t="s">
        <v>43</v>
      </c>
      <c r="G4" s="1" t="s">
        <v>44</v>
      </c>
      <c r="H4" s="1" t="s">
        <v>45</v>
      </c>
      <c r="I4" s="1" t="s">
        <v>51</v>
      </c>
    </row>
    <row r="5" spans="2:9" ht="18" x14ac:dyDescent="0.35">
      <c r="B5" s="2" t="s">
        <v>8</v>
      </c>
      <c r="C5" s="3">
        <v>46082</v>
      </c>
      <c r="D5" s="2" t="s">
        <v>4</v>
      </c>
      <c r="E5" s="2" t="s">
        <v>1</v>
      </c>
      <c r="F5" s="2">
        <v>4</v>
      </c>
      <c r="G5" s="2">
        <v>15</v>
      </c>
      <c r="H5" s="2">
        <v>4</v>
      </c>
      <c r="I5" s="2" t="str">
        <f t="shared" ref="I5:I34" si="0">IF(G2&lt;=10, "Met", "Breached")</f>
        <v>Met</v>
      </c>
    </row>
    <row r="6" spans="2:9" ht="18" x14ac:dyDescent="0.35">
      <c r="B6" s="2" t="s">
        <v>9</v>
      </c>
      <c r="C6" s="3">
        <v>46082</v>
      </c>
      <c r="D6" s="2" t="s">
        <v>5</v>
      </c>
      <c r="E6" s="2" t="s">
        <v>2</v>
      </c>
      <c r="F6" s="2">
        <v>2</v>
      </c>
      <c r="G6" s="2">
        <v>45</v>
      </c>
      <c r="H6" s="2">
        <v>12</v>
      </c>
      <c r="I6" s="2" t="str">
        <f t="shared" si="0"/>
        <v>Met</v>
      </c>
    </row>
    <row r="7" spans="2:9" ht="18" x14ac:dyDescent="0.35">
      <c r="B7" s="2" t="s">
        <v>10</v>
      </c>
      <c r="C7" s="3">
        <v>46082</v>
      </c>
      <c r="D7" s="2" t="s">
        <v>6</v>
      </c>
      <c r="E7" s="2" t="s">
        <v>3</v>
      </c>
      <c r="F7" s="2">
        <v>5</v>
      </c>
      <c r="G7" s="2">
        <v>5</v>
      </c>
      <c r="H7" s="2">
        <v>1</v>
      </c>
      <c r="I7" s="2" t="str">
        <f t="shared" si="0"/>
        <v>Breached</v>
      </c>
    </row>
    <row r="8" spans="2:9" ht="18" x14ac:dyDescent="0.35">
      <c r="B8" s="2" t="s">
        <v>11</v>
      </c>
      <c r="C8" s="3">
        <v>46083</v>
      </c>
      <c r="D8" s="2" t="s">
        <v>4</v>
      </c>
      <c r="E8" s="2" t="s">
        <v>1</v>
      </c>
      <c r="F8" s="2">
        <v>5</v>
      </c>
      <c r="G8" s="2">
        <v>12</v>
      </c>
      <c r="H8" s="2">
        <v>3</v>
      </c>
      <c r="I8" s="2" t="str">
        <f t="shared" si="0"/>
        <v>Breached</v>
      </c>
    </row>
    <row r="9" spans="2:9" ht="18" x14ac:dyDescent="0.35">
      <c r="B9" s="2" t="s">
        <v>12</v>
      </c>
      <c r="C9" s="3">
        <v>46083</v>
      </c>
      <c r="D9" s="2" t="s">
        <v>5</v>
      </c>
      <c r="E9" s="2" t="s">
        <v>2</v>
      </c>
      <c r="F9" s="2">
        <v>1</v>
      </c>
      <c r="G9" s="2">
        <v>50</v>
      </c>
      <c r="H9" s="2">
        <v>14</v>
      </c>
      <c r="I9" s="2" t="str">
        <f t="shared" si="0"/>
        <v>Breached</v>
      </c>
    </row>
    <row r="10" spans="2:9" ht="18" x14ac:dyDescent="0.35">
      <c r="B10" s="2" t="s">
        <v>13</v>
      </c>
      <c r="C10" s="3">
        <v>46083</v>
      </c>
      <c r="D10" s="2" t="s">
        <v>7</v>
      </c>
      <c r="E10" s="2" t="s">
        <v>3</v>
      </c>
      <c r="F10" s="2">
        <v>4</v>
      </c>
      <c r="G10" s="2">
        <v>8</v>
      </c>
      <c r="H10" s="2">
        <v>2</v>
      </c>
      <c r="I10" s="2" t="str">
        <f t="shared" si="0"/>
        <v>Met</v>
      </c>
    </row>
    <row r="11" spans="2:9" ht="18" x14ac:dyDescent="0.35">
      <c r="B11" s="2" t="s">
        <v>14</v>
      </c>
      <c r="C11" s="3">
        <v>46084</v>
      </c>
      <c r="D11" s="2" t="s">
        <v>6</v>
      </c>
      <c r="E11" s="2" t="s">
        <v>1</v>
      </c>
      <c r="F11" s="2">
        <v>4</v>
      </c>
      <c r="G11" s="2">
        <v>20</v>
      </c>
      <c r="H11" s="2">
        <v>5</v>
      </c>
      <c r="I11" s="2" t="str">
        <f t="shared" si="0"/>
        <v>Breached</v>
      </c>
    </row>
    <row r="12" spans="2:9" ht="18" x14ac:dyDescent="0.35">
      <c r="B12" s="2" t="s">
        <v>15</v>
      </c>
      <c r="C12" s="3">
        <v>46084</v>
      </c>
      <c r="D12" s="2" t="s">
        <v>5</v>
      </c>
      <c r="E12" s="2" t="s">
        <v>2</v>
      </c>
      <c r="F12" s="2">
        <v>2</v>
      </c>
      <c r="G12" s="2">
        <v>60</v>
      </c>
      <c r="H12" s="2">
        <v>18</v>
      </c>
      <c r="I12" s="2" t="str">
        <f t="shared" si="0"/>
        <v>Breached</v>
      </c>
    </row>
    <row r="13" spans="2:9" ht="18" x14ac:dyDescent="0.35">
      <c r="B13" s="2" t="s">
        <v>16</v>
      </c>
      <c r="C13" s="3">
        <v>46084</v>
      </c>
      <c r="D13" s="2" t="s">
        <v>4</v>
      </c>
      <c r="E13" s="2" t="s">
        <v>3</v>
      </c>
      <c r="F13" s="2">
        <v>5</v>
      </c>
      <c r="G13" s="2">
        <v>10</v>
      </c>
      <c r="H13" s="2">
        <v>1</v>
      </c>
      <c r="I13" s="2" t="str">
        <f t="shared" si="0"/>
        <v>Met</v>
      </c>
    </row>
    <row r="14" spans="2:9" ht="18" x14ac:dyDescent="0.35">
      <c r="B14" s="2" t="s">
        <v>17</v>
      </c>
      <c r="C14" s="3">
        <v>46085</v>
      </c>
      <c r="D14" s="2" t="s">
        <v>7</v>
      </c>
      <c r="E14" s="2" t="s">
        <v>1</v>
      </c>
      <c r="F14" s="2">
        <v>4</v>
      </c>
      <c r="G14" s="2">
        <v>18</v>
      </c>
      <c r="H14" s="2">
        <v>4</v>
      </c>
      <c r="I14" s="2" t="str">
        <f t="shared" si="0"/>
        <v>Breached</v>
      </c>
    </row>
    <row r="15" spans="2:9" ht="18" x14ac:dyDescent="0.35">
      <c r="B15" s="2" t="s">
        <v>18</v>
      </c>
      <c r="C15" s="3">
        <v>46086</v>
      </c>
      <c r="D15" s="2" t="s">
        <v>38</v>
      </c>
      <c r="E15" s="2" t="s">
        <v>39</v>
      </c>
      <c r="F15" s="2">
        <v>5</v>
      </c>
      <c r="G15" s="2">
        <v>10</v>
      </c>
      <c r="H15" s="2">
        <v>2</v>
      </c>
      <c r="I15" s="2" t="str">
        <f t="shared" si="0"/>
        <v>Breached</v>
      </c>
    </row>
    <row r="16" spans="2:9" ht="18" x14ac:dyDescent="0.35">
      <c r="B16" s="2" t="s">
        <v>19</v>
      </c>
      <c r="C16" s="3">
        <v>46086</v>
      </c>
      <c r="D16" s="2" t="s">
        <v>5</v>
      </c>
      <c r="E16" s="2" t="s">
        <v>2</v>
      </c>
      <c r="F16" s="2">
        <v>2</v>
      </c>
      <c r="G16" s="2">
        <v>55</v>
      </c>
      <c r="H16" s="2">
        <v>15</v>
      </c>
      <c r="I16" s="2" t="str">
        <f t="shared" si="0"/>
        <v>Met</v>
      </c>
    </row>
    <row r="17" spans="2:9" ht="18" x14ac:dyDescent="0.35">
      <c r="B17" s="2" t="s">
        <v>20</v>
      </c>
      <c r="C17" s="3">
        <v>46086</v>
      </c>
      <c r="D17" s="2" t="s">
        <v>4</v>
      </c>
      <c r="E17" s="2" t="s">
        <v>1</v>
      </c>
      <c r="F17" s="2">
        <v>3</v>
      </c>
      <c r="G17" s="2">
        <v>25</v>
      </c>
      <c r="H17" s="2">
        <v>6</v>
      </c>
      <c r="I17" s="2" t="str">
        <f t="shared" si="0"/>
        <v>Breached</v>
      </c>
    </row>
    <row r="18" spans="2:9" ht="18" x14ac:dyDescent="0.35">
      <c r="B18" s="2" t="s">
        <v>21</v>
      </c>
      <c r="C18" s="3">
        <v>46087</v>
      </c>
      <c r="D18" s="2" t="s">
        <v>7</v>
      </c>
      <c r="E18" s="2" t="s">
        <v>40</v>
      </c>
      <c r="F18" s="2">
        <v>5</v>
      </c>
      <c r="G18" s="2">
        <v>5</v>
      </c>
      <c r="H18" s="2">
        <v>1</v>
      </c>
      <c r="I18" s="2" t="str">
        <f t="shared" si="0"/>
        <v>Met</v>
      </c>
    </row>
    <row r="19" spans="2:9" ht="18" x14ac:dyDescent="0.35">
      <c r="B19" s="2" t="s">
        <v>22</v>
      </c>
      <c r="C19" s="3">
        <v>46087</v>
      </c>
      <c r="D19" s="2" t="s">
        <v>38</v>
      </c>
      <c r="E19" s="2" t="s">
        <v>39</v>
      </c>
      <c r="F19" s="2">
        <v>4</v>
      </c>
      <c r="G19" s="2">
        <v>12</v>
      </c>
      <c r="H19" s="2">
        <v>3</v>
      </c>
      <c r="I19" s="2" t="str">
        <f t="shared" si="0"/>
        <v>Breached</v>
      </c>
    </row>
    <row r="20" spans="2:9" ht="18" x14ac:dyDescent="0.35">
      <c r="B20" s="2" t="s">
        <v>23</v>
      </c>
      <c r="C20" s="3">
        <v>46087</v>
      </c>
      <c r="D20" s="2" t="s">
        <v>5</v>
      </c>
      <c r="E20" s="2" t="s">
        <v>2</v>
      </c>
      <c r="F20" s="2">
        <v>1</v>
      </c>
      <c r="G20" s="2">
        <v>48</v>
      </c>
      <c r="H20" s="2">
        <v>13</v>
      </c>
      <c r="I20" s="2" t="str">
        <f t="shared" si="0"/>
        <v>Breached</v>
      </c>
    </row>
    <row r="21" spans="2:9" ht="18" x14ac:dyDescent="0.35">
      <c r="B21" s="2" t="s">
        <v>24</v>
      </c>
      <c r="C21" s="3">
        <v>46088</v>
      </c>
      <c r="D21" s="2" t="s">
        <v>6</v>
      </c>
      <c r="E21" s="2" t="s">
        <v>1</v>
      </c>
      <c r="F21" s="2">
        <v>4</v>
      </c>
      <c r="G21" s="2">
        <v>15</v>
      </c>
      <c r="H21" s="2">
        <v>4</v>
      </c>
      <c r="I21" s="2" t="str">
        <f t="shared" si="0"/>
        <v>Met</v>
      </c>
    </row>
    <row r="22" spans="2:9" ht="18" x14ac:dyDescent="0.35">
      <c r="B22" s="2" t="s">
        <v>25</v>
      </c>
      <c r="C22" s="3">
        <v>46088</v>
      </c>
      <c r="D22" s="2" t="s">
        <v>4</v>
      </c>
      <c r="E22" s="2" t="s">
        <v>40</v>
      </c>
      <c r="F22" s="2">
        <v>3</v>
      </c>
      <c r="G22" s="2">
        <v>20</v>
      </c>
      <c r="H22" s="2">
        <v>5</v>
      </c>
      <c r="I22" s="2" t="str">
        <f t="shared" si="0"/>
        <v>Breached</v>
      </c>
    </row>
    <row r="23" spans="2:9" ht="18" x14ac:dyDescent="0.35">
      <c r="B23" s="2" t="s">
        <v>26</v>
      </c>
      <c r="C23" s="3">
        <v>46088</v>
      </c>
      <c r="D23" s="2" t="s">
        <v>7</v>
      </c>
      <c r="E23" s="3" t="s">
        <v>3</v>
      </c>
      <c r="F23" s="2">
        <v>5</v>
      </c>
      <c r="G23" s="2">
        <v>7</v>
      </c>
      <c r="H23" s="2">
        <v>2</v>
      </c>
      <c r="I23" s="2" t="str">
        <f t="shared" si="0"/>
        <v>Breached</v>
      </c>
    </row>
    <row r="24" spans="2:9" ht="18" x14ac:dyDescent="0.35">
      <c r="B24" s="2" t="s">
        <v>27</v>
      </c>
      <c r="C24" s="3">
        <v>46089</v>
      </c>
      <c r="D24" s="2" t="s">
        <v>38</v>
      </c>
      <c r="E24" s="2" t="s">
        <v>39</v>
      </c>
      <c r="F24" s="2">
        <v>4</v>
      </c>
      <c r="G24" s="2">
        <v>14</v>
      </c>
      <c r="H24" s="2">
        <v>4</v>
      </c>
      <c r="I24" s="2" t="str">
        <f t="shared" si="0"/>
        <v>Breached</v>
      </c>
    </row>
    <row r="25" spans="2:9" ht="18" x14ac:dyDescent="0.35">
      <c r="B25" s="2" t="s">
        <v>28</v>
      </c>
      <c r="C25" s="3">
        <v>46089</v>
      </c>
      <c r="D25" s="2" t="s">
        <v>6</v>
      </c>
      <c r="E25" s="2" t="s">
        <v>1</v>
      </c>
      <c r="F25" s="2">
        <v>5</v>
      </c>
      <c r="G25" s="2">
        <v>18</v>
      </c>
      <c r="H25" s="2">
        <v>5</v>
      </c>
      <c r="I25" s="2" t="str">
        <f t="shared" si="0"/>
        <v>Breached</v>
      </c>
    </row>
    <row r="26" spans="2:9" ht="18" x14ac:dyDescent="0.35">
      <c r="B26" s="2" t="s">
        <v>29</v>
      </c>
      <c r="C26" s="3">
        <v>46089</v>
      </c>
      <c r="D26" s="2" t="s">
        <v>5</v>
      </c>
      <c r="E26" s="2" t="s">
        <v>2</v>
      </c>
      <c r="F26" s="2">
        <v>1</v>
      </c>
      <c r="G26" s="2">
        <v>65</v>
      </c>
      <c r="H26" s="2">
        <v>20</v>
      </c>
      <c r="I26" s="2" t="str">
        <f t="shared" si="0"/>
        <v>Met</v>
      </c>
    </row>
    <row r="27" spans="2:9" ht="18" x14ac:dyDescent="0.35">
      <c r="B27" s="2" t="s">
        <v>30</v>
      </c>
      <c r="C27" s="3">
        <v>46090</v>
      </c>
      <c r="D27" s="2" t="s">
        <v>4</v>
      </c>
      <c r="E27" s="2" t="s">
        <v>3</v>
      </c>
      <c r="F27" s="2">
        <v>4</v>
      </c>
      <c r="G27" s="2">
        <v>10</v>
      </c>
      <c r="H27" s="2">
        <v>2</v>
      </c>
      <c r="I27" s="2" t="str">
        <f t="shared" si="0"/>
        <v>Breached</v>
      </c>
    </row>
    <row r="28" spans="2:9" ht="18" x14ac:dyDescent="0.35">
      <c r="B28" s="2" t="s">
        <v>31</v>
      </c>
      <c r="C28" s="3">
        <v>46090</v>
      </c>
      <c r="D28" s="2" t="s">
        <v>7</v>
      </c>
      <c r="E28" s="2" t="s">
        <v>40</v>
      </c>
      <c r="F28" s="2">
        <v>5</v>
      </c>
      <c r="G28" s="2">
        <v>6</v>
      </c>
      <c r="H28" s="2">
        <v>1</v>
      </c>
      <c r="I28" s="2" t="str">
        <f t="shared" si="0"/>
        <v>Breached</v>
      </c>
    </row>
    <row r="29" spans="2:9" ht="18" x14ac:dyDescent="0.35">
      <c r="B29" s="2" t="s">
        <v>32</v>
      </c>
      <c r="C29" s="3">
        <v>46090</v>
      </c>
      <c r="D29" s="2" t="s">
        <v>38</v>
      </c>
      <c r="E29" s="2" t="s">
        <v>39</v>
      </c>
      <c r="F29" s="2">
        <v>5</v>
      </c>
      <c r="G29" s="2">
        <v>11</v>
      </c>
      <c r="H29" s="2">
        <v>3</v>
      </c>
      <c r="I29" s="2" t="str">
        <f t="shared" si="0"/>
        <v>Breached</v>
      </c>
    </row>
    <row r="30" spans="2:9" ht="18" x14ac:dyDescent="0.35">
      <c r="B30" s="2" t="s">
        <v>33</v>
      </c>
      <c r="C30" s="3">
        <v>46091</v>
      </c>
      <c r="D30" s="2" t="s">
        <v>6</v>
      </c>
      <c r="E30" s="2" t="s">
        <v>1</v>
      </c>
      <c r="F30" s="2">
        <v>3</v>
      </c>
      <c r="G30" s="2">
        <v>22</v>
      </c>
      <c r="H30" s="2">
        <v>6</v>
      </c>
      <c r="I30" s="2" t="str">
        <f t="shared" si="0"/>
        <v>Met</v>
      </c>
    </row>
    <row r="31" spans="2:9" ht="18" x14ac:dyDescent="0.35">
      <c r="B31" s="2" t="s">
        <v>34</v>
      </c>
      <c r="C31" s="3">
        <v>46091</v>
      </c>
      <c r="D31" s="2" t="s">
        <v>5</v>
      </c>
      <c r="E31" s="2" t="s">
        <v>2</v>
      </c>
      <c r="F31" s="2">
        <v>3</v>
      </c>
      <c r="G31" s="2">
        <v>40</v>
      </c>
      <c r="H31" s="2">
        <v>10</v>
      </c>
      <c r="I31" s="2" t="str">
        <f t="shared" si="0"/>
        <v>Met</v>
      </c>
    </row>
    <row r="32" spans="2:9" ht="18" x14ac:dyDescent="0.35">
      <c r="B32" s="2" t="s">
        <v>35</v>
      </c>
      <c r="C32" s="3">
        <v>46091</v>
      </c>
      <c r="D32" s="2" t="s">
        <v>7</v>
      </c>
      <c r="E32" s="2" t="s">
        <v>3</v>
      </c>
      <c r="F32" s="2">
        <v>5</v>
      </c>
      <c r="G32" s="2">
        <v>5</v>
      </c>
      <c r="H32" s="2">
        <v>1</v>
      </c>
      <c r="I32" s="2" t="str">
        <f t="shared" si="0"/>
        <v>Breached</v>
      </c>
    </row>
    <row r="33" spans="2:9" ht="18" x14ac:dyDescent="0.35">
      <c r="B33" s="2" t="s">
        <v>36</v>
      </c>
      <c r="C33" s="3">
        <v>46092</v>
      </c>
      <c r="D33" s="2" t="s">
        <v>4</v>
      </c>
      <c r="E33" s="2" t="s">
        <v>1</v>
      </c>
      <c r="F33" s="2">
        <v>4</v>
      </c>
      <c r="G33" s="2">
        <v>16</v>
      </c>
      <c r="H33" s="2">
        <v>4</v>
      </c>
      <c r="I33" s="2" t="str">
        <f t="shared" si="0"/>
        <v>Breached</v>
      </c>
    </row>
    <row r="34" spans="2:9" ht="18" x14ac:dyDescent="0.35">
      <c r="B34" s="2" t="s">
        <v>37</v>
      </c>
      <c r="C34" s="3">
        <v>46092</v>
      </c>
      <c r="D34" s="2" t="s">
        <v>38</v>
      </c>
      <c r="E34" s="2" t="s">
        <v>40</v>
      </c>
      <c r="F34" s="2">
        <v>5</v>
      </c>
      <c r="G34" s="2">
        <v>9</v>
      </c>
      <c r="H34" s="2">
        <v>2</v>
      </c>
      <c r="I34" s="2" t="str">
        <f t="shared" si="0"/>
        <v>Breached</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EFCE-CB35-4BCC-B212-B5A9172AD1F3}">
  <dimension ref="A3:B9"/>
  <sheetViews>
    <sheetView workbookViewId="0">
      <selection activeCell="D26" sqref="D26"/>
    </sheetView>
  </sheetViews>
  <sheetFormatPr defaultRowHeight="14.4" x14ac:dyDescent="0.3"/>
  <cols>
    <col min="1" max="1" width="12.5546875" bestFit="1" customWidth="1"/>
    <col min="2" max="2" width="20.77734375" bestFit="1" customWidth="1"/>
  </cols>
  <sheetData>
    <row r="3" spans="1:2" x14ac:dyDescent="0.3">
      <c r="A3" s="5" t="s">
        <v>47</v>
      </c>
      <c r="B3" t="s">
        <v>49</v>
      </c>
    </row>
    <row r="4" spans="1:2" x14ac:dyDescent="0.3">
      <c r="A4" s="6" t="s">
        <v>6</v>
      </c>
      <c r="B4" s="7">
        <v>4.2</v>
      </c>
    </row>
    <row r="5" spans="1:2" x14ac:dyDescent="0.3">
      <c r="A5" s="6" t="s">
        <v>38</v>
      </c>
      <c r="B5" s="7">
        <v>4.5999999999999996</v>
      </c>
    </row>
    <row r="6" spans="1:2" x14ac:dyDescent="0.3">
      <c r="A6" s="6" t="s">
        <v>5</v>
      </c>
      <c r="B6" s="7">
        <v>1.7142857142857142</v>
      </c>
    </row>
    <row r="7" spans="1:2" x14ac:dyDescent="0.3">
      <c r="A7" s="6" t="s">
        <v>4</v>
      </c>
      <c r="B7" s="7">
        <v>4</v>
      </c>
    </row>
    <row r="8" spans="1:2" x14ac:dyDescent="0.3">
      <c r="A8" s="6" t="s">
        <v>7</v>
      </c>
      <c r="B8" s="7">
        <v>4.666666666666667</v>
      </c>
    </row>
    <row r="9" spans="1:2" x14ac:dyDescent="0.3">
      <c r="A9" s="6" t="s">
        <v>48</v>
      </c>
      <c r="B9" s="7">
        <v>3.7333333333333334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DEAB-CBD0-43AD-8794-3CD12067C3FA}">
  <dimension ref="A3:B9"/>
  <sheetViews>
    <sheetView workbookViewId="0">
      <selection activeCell="L14" sqref="L14"/>
    </sheetView>
  </sheetViews>
  <sheetFormatPr defaultRowHeight="14.4" x14ac:dyDescent="0.3"/>
  <cols>
    <col min="1" max="1" width="12.5546875" bestFit="1" customWidth="1"/>
    <col min="2" max="2" width="24.88671875" bestFit="1" customWidth="1"/>
  </cols>
  <sheetData>
    <row r="3" spans="1:2" x14ac:dyDescent="0.3">
      <c r="A3" s="5" t="s">
        <v>47</v>
      </c>
      <c r="B3" t="s">
        <v>50</v>
      </c>
    </row>
    <row r="4" spans="1:2" x14ac:dyDescent="0.3">
      <c r="A4" s="6" t="s">
        <v>40</v>
      </c>
      <c r="B4" s="7">
        <v>2.25</v>
      </c>
    </row>
    <row r="5" spans="1:2" x14ac:dyDescent="0.3">
      <c r="A5" s="6" t="s">
        <v>2</v>
      </c>
      <c r="B5" s="7">
        <v>14.571428571428571</v>
      </c>
    </row>
    <row r="6" spans="1:2" x14ac:dyDescent="0.3">
      <c r="A6" s="6" t="s">
        <v>3</v>
      </c>
      <c r="B6" s="7">
        <v>1.5</v>
      </c>
    </row>
    <row r="7" spans="1:2" x14ac:dyDescent="0.3">
      <c r="A7" s="6" t="s">
        <v>39</v>
      </c>
      <c r="B7" s="7">
        <v>3</v>
      </c>
    </row>
    <row r="8" spans="1:2" x14ac:dyDescent="0.3">
      <c r="A8" s="6" t="s">
        <v>1</v>
      </c>
      <c r="B8" s="7">
        <v>4.5555555555555554</v>
      </c>
    </row>
    <row r="9" spans="1:2" x14ac:dyDescent="0.3">
      <c r="A9" s="6" t="s">
        <v>48</v>
      </c>
      <c r="B9" s="7">
        <v>5.7666666666666666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21D9-0B11-48D0-B491-6799E7FE22EA}">
  <dimension ref="A3:D10"/>
  <sheetViews>
    <sheetView workbookViewId="0">
      <selection activeCell="E24" sqref="E24"/>
    </sheetView>
  </sheetViews>
  <sheetFormatPr defaultRowHeight="14.4" x14ac:dyDescent="0.3"/>
  <cols>
    <col min="1" max="1" width="16.6640625" bestFit="1" customWidth="1"/>
    <col min="2" max="2" width="15.5546875" bestFit="1" customWidth="1"/>
    <col min="3" max="3" width="4.44140625" bestFit="1" customWidth="1"/>
    <col min="4" max="4" width="10.77734375" bestFit="1" customWidth="1"/>
  </cols>
  <sheetData>
    <row r="3" spans="1:4" x14ac:dyDescent="0.3">
      <c r="A3" s="5" t="s">
        <v>55</v>
      </c>
      <c r="B3" s="5" t="s">
        <v>52</v>
      </c>
    </row>
    <row r="4" spans="1:4" x14ac:dyDescent="0.3">
      <c r="A4" s="5" t="s">
        <v>47</v>
      </c>
      <c r="B4" t="s">
        <v>53</v>
      </c>
      <c r="C4" t="s">
        <v>54</v>
      </c>
      <c r="D4" t="s">
        <v>48</v>
      </c>
    </row>
    <row r="5" spans="1:4" x14ac:dyDescent="0.3">
      <c r="A5" s="6" t="s">
        <v>40</v>
      </c>
      <c r="B5" s="7">
        <v>3</v>
      </c>
      <c r="C5" s="7">
        <v>1</v>
      </c>
      <c r="D5" s="7">
        <v>4</v>
      </c>
    </row>
    <row r="6" spans="1:4" x14ac:dyDescent="0.3">
      <c r="A6" s="6" t="s">
        <v>2</v>
      </c>
      <c r="B6" s="7">
        <v>3</v>
      </c>
      <c r="C6" s="7">
        <v>4</v>
      </c>
      <c r="D6" s="7">
        <v>7</v>
      </c>
    </row>
    <row r="7" spans="1:4" x14ac:dyDescent="0.3">
      <c r="A7" s="6" t="s">
        <v>3</v>
      </c>
      <c r="B7" s="7">
        <v>4</v>
      </c>
      <c r="C7" s="7">
        <v>2</v>
      </c>
      <c r="D7" s="7">
        <v>6</v>
      </c>
    </row>
    <row r="8" spans="1:4" x14ac:dyDescent="0.3">
      <c r="A8" s="6" t="s">
        <v>39</v>
      </c>
      <c r="B8" s="7">
        <v>4</v>
      </c>
      <c r="C8" s="7"/>
      <c r="D8" s="7">
        <v>4</v>
      </c>
    </row>
    <row r="9" spans="1:4" x14ac:dyDescent="0.3">
      <c r="A9" s="6" t="s">
        <v>1</v>
      </c>
      <c r="B9" s="7">
        <v>6</v>
      </c>
      <c r="C9" s="7">
        <v>3</v>
      </c>
      <c r="D9" s="7">
        <v>9</v>
      </c>
    </row>
    <row r="10" spans="1:4" x14ac:dyDescent="0.3">
      <c r="A10" s="6" t="s">
        <v>48</v>
      </c>
      <c r="B10" s="7">
        <v>20</v>
      </c>
      <c r="C10" s="7">
        <v>10</v>
      </c>
      <c r="D10" s="7">
        <v>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8E01-AC50-4A3D-845F-A24D2F661F44}">
  <dimension ref="A3:C4"/>
  <sheetViews>
    <sheetView topLeftCell="A2" workbookViewId="0">
      <selection activeCell="J20" sqref="J20"/>
    </sheetView>
  </sheetViews>
  <sheetFormatPr defaultRowHeight="14.4" x14ac:dyDescent="0.3"/>
  <cols>
    <col min="1" max="1" width="24.88671875" bestFit="1" customWidth="1"/>
    <col min="2" max="2" width="20.77734375" bestFit="1" customWidth="1"/>
    <col min="3" max="3" width="16.6640625" bestFit="1" customWidth="1"/>
  </cols>
  <sheetData>
    <row r="3" spans="1:3" x14ac:dyDescent="0.3">
      <c r="A3" t="s">
        <v>50</v>
      </c>
      <c r="B3" t="s">
        <v>49</v>
      </c>
      <c r="C3" t="s">
        <v>55</v>
      </c>
    </row>
    <row r="4" spans="1:3" x14ac:dyDescent="0.3">
      <c r="A4" s="7">
        <v>5.7666666666666666</v>
      </c>
      <c r="B4" s="7">
        <v>3.7333333333333334</v>
      </c>
      <c r="C4" s="7">
        <v>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A878-274D-452A-8C75-97A9CB343E51}">
  <dimension ref="F4:AH6"/>
  <sheetViews>
    <sheetView showGridLines="0" tabSelected="1" topLeftCell="C3" zoomScale="68" workbookViewId="0">
      <selection activeCell="AI53" sqref="AI53"/>
    </sheetView>
  </sheetViews>
  <sheetFormatPr defaultRowHeight="14.4" x14ac:dyDescent="0.3"/>
  <cols>
    <col min="1" max="16384" width="8.88671875" style="8"/>
  </cols>
  <sheetData>
    <row r="4" spans="6:34" ht="14.4" customHeight="1" x14ac:dyDescent="0.3">
      <c r="F4" s="9" t="s">
        <v>56</v>
      </c>
      <c r="G4" s="9"/>
      <c r="H4" s="9"/>
      <c r="I4" s="9"/>
      <c r="J4" s="9"/>
      <c r="K4" s="9"/>
      <c r="L4" s="9"/>
      <c r="M4" s="9"/>
      <c r="N4" s="9"/>
      <c r="O4" s="9"/>
      <c r="P4" s="9"/>
      <c r="Q4" s="9"/>
      <c r="R4" s="9"/>
      <c r="S4" s="9"/>
      <c r="T4" s="9"/>
      <c r="U4" s="9"/>
      <c r="V4" s="9"/>
      <c r="W4" s="9"/>
      <c r="X4" s="9"/>
      <c r="Y4" s="9"/>
      <c r="Z4" s="9"/>
      <c r="AA4" s="9"/>
      <c r="AB4" s="9"/>
      <c r="AC4" s="9"/>
      <c r="AD4" s="9"/>
      <c r="AE4" s="9"/>
      <c r="AF4" s="9"/>
      <c r="AG4" s="9"/>
      <c r="AH4" s="9"/>
    </row>
    <row r="5" spans="6:34" ht="14.4" customHeight="1" x14ac:dyDescent="0.3">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6:34" ht="14.4" customHeight="1" x14ac:dyDescent="0.3">
      <c r="F6" s="9"/>
      <c r="G6" s="9"/>
      <c r="H6" s="9"/>
      <c r="I6" s="9"/>
      <c r="J6" s="9"/>
      <c r="K6" s="9"/>
      <c r="L6" s="9"/>
      <c r="M6" s="9"/>
      <c r="N6" s="9"/>
      <c r="O6" s="9"/>
      <c r="P6" s="9"/>
      <c r="Q6" s="9"/>
      <c r="R6" s="9"/>
      <c r="S6" s="9"/>
      <c r="T6" s="9"/>
      <c r="U6" s="9"/>
      <c r="V6" s="9"/>
      <c r="W6" s="9"/>
      <c r="X6" s="9"/>
      <c r="Y6" s="9"/>
      <c r="Z6" s="9"/>
      <c r="AA6" s="9"/>
      <c r="AB6" s="9"/>
      <c r="AC6" s="9"/>
      <c r="AD6" s="9"/>
      <c r="AE6" s="9"/>
      <c r="AF6" s="9"/>
      <c r="AG6" s="9"/>
      <c r="AH6" s="9"/>
    </row>
  </sheetData>
  <mergeCells count="1">
    <mergeCell ref="F4:A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1</vt:lpstr>
      <vt:lpstr>pivot2</vt:lpstr>
      <vt:lpstr>pivot3</vt:lpstr>
      <vt:lpstr>pivot4</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 Patil</dc:creator>
  <cp:lastModifiedBy>Sarang Patil</cp:lastModifiedBy>
  <dcterms:created xsi:type="dcterms:W3CDTF">2026-03-12T13:33:57Z</dcterms:created>
  <dcterms:modified xsi:type="dcterms:W3CDTF">2026-03-14T16:32:14Z</dcterms:modified>
</cp:coreProperties>
</file>